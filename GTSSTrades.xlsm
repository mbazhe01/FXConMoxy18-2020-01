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260" yWindow="756" windowWidth="3444" windowHeight="2736" activeTab="1"/>
  </bookViews>
  <sheets>
    <sheet name="Fwd" sheetId="1" r:id="rId1"/>
    <sheet name="Comp" sheetId="2" r:id="rId2"/>
    <sheet name="accounts" sheetId="7" r:id="rId3"/>
    <sheet name="file export page" sheetId="5" r:id="rId4"/>
    <sheet name="curr list" sheetId="8" r:id="rId5"/>
    <sheet name="config" sheetId="4" r:id="rId6"/>
    <sheet name="Setup" sheetId="6" r:id="rId7"/>
    <sheet name="Module1" sheetId="3" state="veryHidden" r:id=""/>
    <sheet name="Sheet1" sheetId="9" r:id="rId8"/>
  </sheets>
  <functionGroups/>
  <externalReferences>
    <externalReference r:id="rId9"/>
    <externalReference r:id="rId10"/>
  </externalReferences>
  <definedNames>
    <definedName name="acctlist">accounts!$B$5:$C$64</definedName>
    <definedName name="Actions" localSheetId="4">[1]Setup!#REF!</definedName>
    <definedName name="Actions">Setup!#REF!</definedName>
    <definedName name="ArchiveFromFXC">config!$M$5</definedName>
    <definedName name="AUDRATE">accounts!$D$3</definedName>
    <definedName name="AXYSFile">Setup!$D$2</definedName>
    <definedName name="bankList">config!$A$3:$A$17</definedName>
    <definedName name="BankLongToShort">config!$B$3:$D$15</definedName>
    <definedName name="Banks">Setup!$A$12:$A$20</definedName>
    <definedName name="Broker">#REF!</definedName>
    <definedName name="Broker2">#REF!</definedName>
    <definedName name="BrokerCode">#REF!</definedName>
    <definedName name="BrokerExportList">config!$A$3:$D$17</definedName>
    <definedName name="BrokerLongName">#REF!</definedName>
    <definedName name="BrokerLongName2">#REF!</definedName>
    <definedName name="BrokerShortName" localSheetId="6">#REF!</definedName>
    <definedName name="BrokerShortName">config!$F$3</definedName>
    <definedName name="BrokerShortName2" localSheetId="4">config!$F$3</definedName>
    <definedName name="BrokerShortName2">#REF!</definedName>
    <definedName name="bsflag">[1]Config!$I$7:$I$8</definedName>
    <definedName name="BuyBIC">Setup!$A$6</definedName>
    <definedName name="BuyInst">Setup!$A$2</definedName>
    <definedName name="BuyPwd">Setup!$A$4</definedName>
    <definedName name="BUYSELL" localSheetId="4">#REF!</definedName>
    <definedName name="buysell">config!$F$7:$F$8</definedName>
    <definedName name="CADRATE">accounts!$E$3</definedName>
    <definedName name="CHFRATE">accounts!$F$3</definedName>
    <definedName name="Choices_Wrapper" localSheetId="4">'curr list'!Choices_Wrapper</definedName>
    <definedName name="Choices_Wrapper">[0]!Choices_Wrapper</definedName>
    <definedName name="Code">#REF!</definedName>
    <definedName name="CurList">#REF!</definedName>
    <definedName name="Currency">#REF!</definedName>
    <definedName name="currlist" localSheetId="4">'curr list'!$B$2:$C$24</definedName>
    <definedName name="CURRLIST">#REF!</definedName>
    <definedName name="CURRLIST2">#REF!</definedName>
    <definedName name="CURRLIST3">#REF!</definedName>
    <definedName name="CZKRATE">accounts!$G$3</definedName>
    <definedName name="digitcurrlist">'curr list'!$B$2:$B$24</definedName>
    <definedName name="DKKRATE">accounts!$H$3</definedName>
    <definedName name="EURRATE">accounts!$I$3</definedName>
    <definedName name="ExportBuyFile">Setup!$A$9</definedName>
    <definedName name="ExportSellFile" localSheetId="4">[1]Setup!#REF!</definedName>
    <definedName name="ExportSellFile">Setup!#REF!</definedName>
    <definedName name="FORMLIST">[1]accounts!$A$5:$A$7</definedName>
    <definedName name="FromFXC">config!$M$4</definedName>
    <definedName name="FUNDLIST">#REF!</definedName>
    <definedName name="FXC">#REF!</definedName>
    <definedName name="fxnamelist">accounts!$B$5:$B$64</definedName>
    <definedName name="GBPRATE">accounts!$J$3</definedName>
    <definedName name="HKDRATE">accounts!$K$3</definedName>
    <definedName name="ImportFileLoc">Setup!$B$4</definedName>
    <definedName name="ImportFileName" localSheetId="6">Setup!$B$2</definedName>
    <definedName name="importfilename">#REF!</definedName>
    <definedName name="JarFile">Setup!$C$9</definedName>
    <definedName name="JPYRATE">accounts!$L$3</definedName>
    <definedName name="KRWRATE">accounts!$M$3</definedName>
    <definedName name="Long">#REF!</definedName>
    <definedName name="LongBrokerName">#REF!</definedName>
    <definedName name="LTS">Setup!$B$9</definedName>
    <definedName name="MainFileLoc">Setup!$C$4</definedName>
    <definedName name="MainFileName">Setup!$C$2</definedName>
    <definedName name="MXNRATE">accounts!$N$3</definedName>
    <definedName name="NOKRATE">accounts!$O$3</definedName>
    <definedName name="NZDRATE">accounts!$P$3</definedName>
    <definedName name="_xlnm.Print_Area" localSheetId="2">accounts!$A$2:$B$38</definedName>
    <definedName name="_xlnm.Print_Area" localSheetId="1">Comp!$A$3:$N$42</definedName>
    <definedName name="_xlnm.Print_Titles" localSheetId="1">Comp!$1:$4</definedName>
    <definedName name="_xlnm.Print_Titles" localSheetId="0">Fwd!$1:$4</definedName>
    <definedName name="refnum">Setup!$F$2</definedName>
    <definedName name="SEKRATE">accounts!$Q$3</definedName>
    <definedName name="selectedbank">config!$F$4</definedName>
    <definedName name="SellBIC">Setup!$B$12:$B$20</definedName>
    <definedName name="SellID" localSheetId="4">[1]Setup!#REF!</definedName>
    <definedName name="SellID">Setup!#REF!</definedName>
    <definedName name="SellInst" localSheetId="4">[1]Setup!#REF!</definedName>
    <definedName name="SellInst">Setup!#REF!</definedName>
    <definedName name="SellPwd" localSheetId="4">[1]Setup!#REF!</definedName>
    <definedName name="SellPwd">Setup!#REF!</definedName>
    <definedName name="SendToFxConnect">"Button 18"</definedName>
    <definedName name="sessionlist">#REF!</definedName>
    <definedName name="sessionname">#REF!</definedName>
    <definedName name="SGDRATE">accounts!$R$3</definedName>
    <definedName name="Short">#REF!</definedName>
    <definedName name="sname">#REF!</definedName>
    <definedName name="StartCell">Fwd!$A$5</definedName>
    <definedName name="THBRATE">accounts!$S$3</definedName>
    <definedName name="Threshholdlookup">'curr list'!$B$2:$D$23</definedName>
    <definedName name="today">#REF!</definedName>
    <definedName name="todaydate">'curr list'!$I$1</definedName>
    <definedName name="ToFXC">config!$M$3</definedName>
    <definedName name="tolerancelookup">accounts!$B$5:$U$59</definedName>
    <definedName name="tollookup">accounts!$A$5:$T$76</definedName>
    <definedName name="Trader">[2]Config!$A$8:$B$10</definedName>
    <definedName name="twodigitcurr">'curr list'!$A$2:$C$24</definedName>
    <definedName name="USD">Setup!$C$6</definedName>
    <definedName name="ValidFunds">#REF!</definedName>
  </definedNames>
  <calcPr calcId="125725"/>
</workbook>
</file>

<file path=xl/calcChain.xml><?xml version="1.0" encoding="utf-8"?>
<calcChain xmlns="http://schemas.openxmlformats.org/spreadsheetml/2006/main">
  <c r="F2" i="6"/>
  <c r="C3" i="4"/>
  <c r="F3"/>
  <c r="C4"/>
  <c r="F4"/>
  <c r="C5"/>
  <c r="C6"/>
  <c r="C7"/>
  <c r="C8"/>
  <c r="C9"/>
  <c r="C11"/>
  <c r="C12"/>
  <c r="C14"/>
  <c r="I1" i="8"/>
  <c r="D2"/>
  <c r="D3"/>
  <c r="D4"/>
  <c r="D5"/>
  <c r="D7"/>
  <c r="D8"/>
  <c r="D9"/>
  <c r="D10"/>
  <c r="D11"/>
  <c r="D13"/>
  <c r="D14"/>
  <c r="D15"/>
  <c r="D16"/>
  <c r="D17"/>
  <c r="D18"/>
  <c r="D19"/>
  <c r="D20"/>
  <c r="D21"/>
  <c r="D22"/>
  <c r="D23"/>
</calcChain>
</file>

<file path=xl/sharedStrings.xml><?xml version="1.0" encoding="utf-8"?>
<sst xmlns="http://schemas.openxmlformats.org/spreadsheetml/2006/main" count="395" uniqueCount="291">
  <si>
    <t>Tweedy Browne Forward Blotter</t>
  </si>
  <si>
    <t>Tr.</t>
  </si>
  <si>
    <t>Acc.</t>
  </si>
  <si>
    <t>B/S</t>
  </si>
  <si>
    <t>CCY</t>
  </si>
  <si>
    <t>Amount</t>
  </si>
  <si>
    <t>Other CCY</t>
  </si>
  <si>
    <t>Spot Rate</t>
  </si>
  <si>
    <t>Fwd Points</t>
  </si>
  <si>
    <t>Fwd Rate</t>
  </si>
  <si>
    <t>Other Amt</t>
  </si>
  <si>
    <t>Val Date</t>
  </si>
  <si>
    <t>Broker</t>
  </si>
  <si>
    <t>Fund Total</t>
  </si>
  <si>
    <t>SSB</t>
  </si>
  <si>
    <t>Broker List</t>
  </si>
  <si>
    <t>State Street Bank</t>
  </si>
  <si>
    <t>Mellon</t>
  </si>
  <si>
    <t>EUR</t>
  </si>
  <si>
    <t>CHF</t>
  </si>
  <si>
    <t>USD</t>
  </si>
  <si>
    <t>GBP</t>
  </si>
  <si>
    <t>TN1B</t>
  </si>
  <si>
    <t>JPY</t>
  </si>
  <si>
    <t>TN1D</t>
  </si>
  <si>
    <t>Northern</t>
  </si>
  <si>
    <t>BofA</t>
  </si>
  <si>
    <t>Citibank</t>
  </si>
  <si>
    <t>JPMC</t>
  </si>
  <si>
    <t>MorganSt</t>
  </si>
  <si>
    <t>Northern Trust</t>
  </si>
  <si>
    <t>JPMorganChase</t>
  </si>
  <si>
    <t>cash</t>
  </si>
  <si>
    <t>y</t>
  </si>
  <si>
    <t>n</t>
  </si>
  <si>
    <t>N</t>
  </si>
  <si>
    <t>Tr. Date</t>
  </si>
  <si>
    <t>Sent to AXYS?</t>
  </si>
  <si>
    <t>Login ID:</t>
  </si>
  <si>
    <t>Import File Name:</t>
  </si>
  <si>
    <t>Current File Name:</t>
  </si>
  <si>
    <t>FX_extract.txt</t>
  </si>
  <si>
    <t>Password File Location:</t>
  </si>
  <si>
    <t>Import File Location:</t>
  </si>
  <si>
    <t>C:\GTSSII\GtssPWD.pwd</t>
  </si>
  <si>
    <t>c:\FX_extract.txt</t>
  </si>
  <si>
    <t>My BIC:</t>
  </si>
  <si>
    <t>GLKNUSTSXXX</t>
  </si>
  <si>
    <t>Output File:</t>
  </si>
  <si>
    <t>Global Link Server:</t>
  </si>
  <si>
    <t>Java Program:</t>
  </si>
  <si>
    <t>c:\BuyMT300.txt</t>
  </si>
  <si>
    <t>192.168.118.240</t>
  </si>
  <si>
    <t>c:\GTSSII\ETATransUpload.jar</t>
  </si>
  <si>
    <t>bosssb1.e-globallink.com</t>
  </si>
  <si>
    <t>g:\fxconnect\bin\BuyMT300.txt</t>
  </si>
  <si>
    <t>198.200.143.80</t>
  </si>
  <si>
    <t>Counterparty List</t>
  </si>
  <si>
    <t>SWIFT BIC</t>
  </si>
  <si>
    <t>Java Install Location:</t>
  </si>
  <si>
    <t>SBOSUS3FXXX</t>
  </si>
  <si>
    <t>http://java.sun.com/getjava/download.html</t>
  </si>
  <si>
    <t>TBNKUS1XXXX</t>
  </si>
  <si>
    <t>CHASUS33XXX</t>
  </si>
  <si>
    <t>MELNUS3PXXX</t>
  </si>
  <si>
    <t>http://java.sun.com/j2se/1.3/download.html</t>
  </si>
  <si>
    <t>CNORUS44XXX</t>
  </si>
  <si>
    <t>Funds List</t>
  </si>
  <si>
    <t>Users</t>
  </si>
  <si>
    <t>TEST1</t>
  </si>
  <si>
    <t>TEST2</t>
  </si>
  <si>
    <t>CHASGB2LXXX</t>
  </si>
  <si>
    <t>TEST3</t>
  </si>
  <si>
    <t>TEST4</t>
  </si>
  <si>
    <t>A/C NAME</t>
  </si>
  <si>
    <t>FX CONNECT</t>
  </si>
  <si>
    <t>A/C #</t>
  </si>
  <si>
    <t>ACRONYM</t>
  </si>
  <si>
    <t>TWEEDY BROWNE INT'L</t>
  </si>
  <si>
    <t>TWEEDY BROWNE INT'L SFR</t>
  </si>
  <si>
    <t>FLOYD OIL</t>
  </si>
  <si>
    <t>FLOYD</t>
  </si>
  <si>
    <t>CALDWELL</t>
  </si>
  <si>
    <t>CALD</t>
  </si>
  <si>
    <t>TBI PARTNERS</t>
  </si>
  <si>
    <t>TBIP</t>
  </si>
  <si>
    <t>TBK PARTNERS</t>
  </si>
  <si>
    <t>TBK</t>
  </si>
  <si>
    <t xml:space="preserve">CHEYNE </t>
  </si>
  <si>
    <t>API INT'L</t>
  </si>
  <si>
    <t>API01</t>
  </si>
  <si>
    <t>AXYS File Name:</t>
  </si>
  <si>
    <t>24603fc</t>
  </si>
  <si>
    <t>24731fc</t>
  </si>
  <si>
    <t>24687fc</t>
  </si>
  <si>
    <t>24325fc</t>
  </si>
  <si>
    <t>66090fc</t>
  </si>
  <si>
    <t>24158fc</t>
  </si>
  <si>
    <t>24314fc</t>
  </si>
  <si>
    <t>TWEEUSNYXXX</t>
  </si>
  <si>
    <t>AUD</t>
  </si>
  <si>
    <t>CAD</t>
  </si>
  <si>
    <t>CZK</t>
  </si>
  <si>
    <t>DKK</t>
  </si>
  <si>
    <t>HKD</t>
  </si>
  <si>
    <t>KRW</t>
  </si>
  <si>
    <t>MXN</t>
  </si>
  <si>
    <t>NOK</t>
  </si>
  <si>
    <t>NZD</t>
  </si>
  <si>
    <t>SEK</t>
  </si>
  <si>
    <t>SGD</t>
  </si>
  <si>
    <t>USD AMOUNTS ARE LISTED IN GRID BELOW.  ESTIMATED FX RATE FOR EACH CURRENCY LISTED IN ROW 3</t>
  </si>
  <si>
    <t>buy</t>
  </si>
  <si>
    <t>sell</t>
  </si>
  <si>
    <t>2 Digit</t>
  </si>
  <si>
    <t>Currency ISO Code</t>
  </si>
  <si>
    <t>PORTIA Currency Description</t>
  </si>
  <si>
    <t>Estimated Threshhold Amt</t>
  </si>
  <si>
    <t>Rate</t>
  </si>
  <si>
    <t>USD AMT:</t>
  </si>
  <si>
    <t>AU</t>
  </si>
  <si>
    <t>-AUD CASH-</t>
  </si>
  <si>
    <t>CA</t>
  </si>
  <si>
    <t>-CANADIAN CASH-</t>
  </si>
  <si>
    <t>CH</t>
  </si>
  <si>
    <t>-CHF CASH-</t>
  </si>
  <si>
    <t>CS</t>
  </si>
  <si>
    <t>-CZK CASH-</t>
  </si>
  <si>
    <t>DK</t>
  </si>
  <si>
    <t>-DKK CASH-</t>
  </si>
  <si>
    <t>EU</t>
  </si>
  <si>
    <t>-EURO CASH-</t>
  </si>
  <si>
    <t>GB</t>
  </si>
  <si>
    <t>-GBP CASH-</t>
  </si>
  <si>
    <t>HK</t>
  </si>
  <si>
    <t>-HNG KNG CASH-</t>
  </si>
  <si>
    <t>HU</t>
  </si>
  <si>
    <t>HUF</t>
  </si>
  <si>
    <t>-HUNGARY CASH-</t>
  </si>
  <si>
    <t>JP</t>
  </si>
  <si>
    <t>-JAPAN CASH-</t>
  </si>
  <si>
    <t>KR</t>
  </si>
  <si>
    <t>-KOREA CASH-</t>
  </si>
  <si>
    <t>LU</t>
  </si>
  <si>
    <t>MX</t>
  </si>
  <si>
    <t>-MEXICO CASH-</t>
  </si>
  <si>
    <t>MY</t>
  </si>
  <si>
    <t>MYR</t>
  </si>
  <si>
    <t>-MYR CASH-</t>
  </si>
  <si>
    <t>NO</t>
  </si>
  <si>
    <t>-NOK CASH-</t>
  </si>
  <si>
    <t>NZ</t>
  </si>
  <si>
    <t>-NZD CASH-</t>
  </si>
  <si>
    <t>ZA</t>
  </si>
  <si>
    <t>ZAR</t>
  </si>
  <si>
    <t>-S AFRICA CASH-</t>
  </si>
  <si>
    <t>SG</t>
  </si>
  <si>
    <t>-SINGAPRE CASH-</t>
  </si>
  <si>
    <t>SE</t>
  </si>
  <si>
    <t>-SWEDISH CASH-</t>
  </si>
  <si>
    <t>TH</t>
  </si>
  <si>
    <t>THB</t>
  </si>
  <si>
    <t>-THAI CASH-</t>
  </si>
  <si>
    <t>US</t>
  </si>
  <si>
    <t>-US DOLLR CASH-</t>
  </si>
  <si>
    <t>NT</t>
  </si>
  <si>
    <t>CHASE</t>
  </si>
  <si>
    <t>CITI</t>
  </si>
  <si>
    <t xml:space="preserve">                   Tweedy Browne Forward Blotter</t>
  </si>
  <si>
    <t>BASE</t>
  </si>
  <si>
    <t>h:\fxcon\topost1.trn</t>
  </si>
  <si>
    <t>h:\fxcon\topost.trn</t>
  </si>
  <si>
    <t>FMC TECHNOLOGIES</t>
  </si>
  <si>
    <t>24578fc</t>
  </si>
  <si>
    <t>FTI02</t>
  </si>
  <si>
    <t>74132fc</t>
  </si>
  <si>
    <t>73735fc</t>
  </si>
  <si>
    <t>WILLIAM H. BROWNE</t>
  </si>
  <si>
    <t>83230fc</t>
  </si>
  <si>
    <t>twkf2505002</t>
  </si>
  <si>
    <t>ILS</t>
  </si>
  <si>
    <t>IL</t>
  </si>
  <si>
    <t>ISRAELI SHEKEL</t>
  </si>
  <si>
    <t>TWEEDY BROWNE GHD</t>
  </si>
  <si>
    <t>TN1H</t>
  </si>
  <si>
    <t>74836fc</t>
  </si>
  <si>
    <t>Bank of New York Mellon</t>
  </si>
  <si>
    <t>BNYM</t>
  </si>
  <si>
    <t>24740fc</t>
  </si>
  <si>
    <t>BOARD OF PENS PRESBYTERIAN</t>
  </si>
  <si>
    <t>PRESB</t>
  </si>
  <si>
    <t>JAMES LORING JOHNSON</t>
  </si>
  <si>
    <t>24887fc</t>
  </si>
  <si>
    <t>JOHNSON</t>
  </si>
  <si>
    <t>JOHN SPEARS</t>
  </si>
  <si>
    <t>83398fc</t>
  </si>
  <si>
    <t>twkf3501002</t>
  </si>
  <si>
    <t>CITI HK</t>
  </si>
  <si>
    <t>Citibank HK</t>
  </si>
  <si>
    <t>TEST</t>
  </si>
  <si>
    <t>testbank</t>
  </si>
  <si>
    <t>SBOSUS3QXXX</t>
  </si>
  <si>
    <t xml:space="preserve">SCS NAVIGATOR </t>
  </si>
  <si>
    <t>24936fc</t>
  </si>
  <si>
    <t>SCS</t>
  </si>
  <si>
    <t>AVIAN CAPITAL</t>
  </si>
  <si>
    <t>24942fc</t>
  </si>
  <si>
    <t>VNC01</t>
  </si>
  <si>
    <t>BOAML</t>
  </si>
  <si>
    <t>Bank of America Merrill Lynch</t>
  </si>
  <si>
    <t>ssb</t>
  </si>
  <si>
    <t>bnym</t>
  </si>
  <si>
    <t>northern</t>
  </si>
  <si>
    <t>citi</t>
  </si>
  <si>
    <t>jpmc</t>
  </si>
  <si>
    <t>Import To FXConenct</t>
  </si>
  <si>
    <t>Export From FX Connect</t>
  </si>
  <si>
    <t>Export File Archive</t>
  </si>
  <si>
    <t>Test Bank</t>
  </si>
  <si>
    <t>H:\FXCON\FX Connect\Jeanne's Directory\FXC Import\</t>
  </si>
  <si>
    <t>H:\FXCON\FX Connect\Jeanne's Directory\FXC Export\</t>
  </si>
  <si>
    <t>HPI02</t>
  </si>
  <si>
    <t>H:\FXCON\FX Connect\Jeanne's Directory\FXC Archive\</t>
  </si>
  <si>
    <t>PICTET</t>
  </si>
  <si>
    <t>ROYAL TST</t>
  </si>
  <si>
    <t>Royal Bank of Canada</t>
  </si>
  <si>
    <t>rbcds</t>
  </si>
  <si>
    <t>CWK03</t>
  </si>
  <si>
    <t>Pictet North America</t>
  </si>
  <si>
    <t>pictetna</t>
  </si>
  <si>
    <t>LOUISE G BRISTOL</t>
  </si>
  <si>
    <t>JOHN W BRISTOL</t>
  </si>
  <si>
    <t>25025fc</t>
  </si>
  <si>
    <t>25026fc</t>
  </si>
  <si>
    <t>L BRISTOL</t>
  </si>
  <si>
    <t>JW BRISTOL</t>
  </si>
  <si>
    <t>INDIANA UNIV HEALTH</t>
  </si>
  <si>
    <t>LINDA HALL</t>
  </si>
  <si>
    <t>24751fc</t>
  </si>
  <si>
    <t>LHL03</t>
  </si>
  <si>
    <t>EXPOSITION</t>
  </si>
  <si>
    <t>24867fc</t>
  </si>
  <si>
    <t>EXPO</t>
  </si>
  <si>
    <t>UNIV OF CINCINNATI</t>
  </si>
  <si>
    <t>25061fc</t>
  </si>
  <si>
    <t>AMY G DALTON</t>
  </si>
  <si>
    <t>25056fc</t>
  </si>
  <si>
    <t>DALTON TST</t>
  </si>
  <si>
    <t>UOC</t>
  </si>
  <si>
    <t>25074fc</t>
  </si>
  <si>
    <t>RBM04</t>
  </si>
  <si>
    <t>RONALD B MASTER FUND LP</t>
  </si>
  <si>
    <t>TWEEDY BROWNE VAL FUND USA</t>
  </si>
  <si>
    <t>23865fc</t>
  </si>
  <si>
    <t>TN1A</t>
  </si>
  <si>
    <t>GLOBAL INTRINSIC VALUE FUND</t>
  </si>
  <si>
    <t>23716fc</t>
  </si>
  <si>
    <t>GIV</t>
  </si>
  <si>
    <t>PCP Bankinternes</t>
  </si>
  <si>
    <t>74789fc</t>
  </si>
  <si>
    <t>PCP</t>
  </si>
  <si>
    <t>PRIVGHD</t>
  </si>
  <si>
    <t>PRIV CL Partners</t>
  </si>
  <si>
    <t>74829fc</t>
  </si>
  <si>
    <t>75012fc</t>
  </si>
  <si>
    <t>PCPGHD</t>
  </si>
  <si>
    <t>PRIVCLPART</t>
  </si>
  <si>
    <t>CRSUISSE</t>
  </si>
  <si>
    <t>crsuisse</t>
  </si>
  <si>
    <t>Credit Suisse</t>
  </si>
  <si>
    <t>CNH</t>
  </si>
  <si>
    <t>caus</t>
  </si>
  <si>
    <t>fcus</t>
  </si>
  <si>
    <t>Tweedy Browne, Global Value Fund</t>
  </si>
  <si>
    <t>55090fc</t>
  </si>
  <si>
    <t>TBGVX</t>
  </si>
  <si>
    <t>55093fc</t>
  </si>
  <si>
    <t>Tweedy, Browne Value Fund</t>
  </si>
  <si>
    <t>TWEBX</t>
  </si>
  <si>
    <t>-CNH CASH-</t>
  </si>
  <si>
    <t>CC</t>
  </si>
  <si>
    <t>cakr</t>
  </si>
  <si>
    <t>by</t>
  </si>
  <si>
    <t>fckr</t>
  </si>
  <si>
    <t>CLP</t>
  </si>
  <si>
    <t>B</t>
  </si>
  <si>
    <t>YES</t>
  </si>
  <si>
    <t>04042018</t>
  </si>
  <si>
    <t>040418</t>
  </si>
  <si>
    <t>c:\temp\topost1.trn</t>
  </si>
  <si>
    <t>05152018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</si>
</sst>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0.0000"/>
    <numFmt numFmtId="165" formatCode="_(* #,##0_);_(* \(#,##0\);_(* &quot;-&quot;??_);_(@_)"/>
    <numFmt numFmtId="166" formatCode="_(* #,##0.0000_);_(* \(#,##0.0000\);_(* &quot;-&quot;????_);_(@_)"/>
  </numFmts>
  <fonts count="12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sz val="8"/>
      <color indexed="8"/>
      <name val="Verdana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u/>
      <sz val="10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6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9" fillId="0" borderId="0"/>
  </cellStyleXfs>
  <cellXfs count="61">
    <xf numFmtId="0" fontId="0" fillId="0" borderId="0" xfId="0"/>
    <xf numFmtId="4" fontId="0" fillId="0" borderId="0" xfId="0" applyNumberFormat="1"/>
    <xf numFmtId="14" fontId="0" fillId="0" borderId="0" xfId="0" applyNumberFormat="1"/>
    <xf numFmtId="0" fontId="2" fillId="0" borderId="1" xfId="0" applyFont="1" applyBorder="1"/>
    <xf numFmtId="43" fontId="0" fillId="0" borderId="0" xfId="1" applyFont="1"/>
    <xf numFmtId="0" fontId="2" fillId="0" borderId="1" xfId="0" applyFont="1" applyBorder="1" applyAlignment="1">
      <alignment horizontal="center"/>
    </xf>
    <xf numFmtId="0" fontId="0" fillId="0" borderId="0" xfId="0" applyNumberFormat="1"/>
    <xf numFmtId="0" fontId="3" fillId="0" borderId="0" xfId="0" applyFont="1" applyAlignment="1">
      <alignment horizontal="centerContinuous"/>
    </xf>
    <xf numFmtId="4" fontId="0" fillId="0" borderId="0" xfId="1" applyNumberFormat="1" applyFont="1"/>
    <xf numFmtId="14" fontId="0" fillId="0" borderId="0" xfId="0" quotePrefix="1" applyNumberFormat="1"/>
    <xf numFmtId="49" fontId="0" fillId="0" borderId="0" xfId="0" applyNumberFormat="1"/>
    <xf numFmtId="0" fontId="2" fillId="2" borderId="2" xfId="0" applyFont="1" applyFill="1" applyBorder="1"/>
    <xf numFmtId="0" fontId="0" fillId="0" borderId="2" xfId="0" applyBorder="1" applyAlignment="1"/>
    <xf numFmtId="0" fontId="0" fillId="0" borderId="0" xfId="0" applyBorder="1" applyAlignment="1"/>
    <xf numFmtId="0" fontId="5" fillId="3" borderId="0" xfId="0" applyFont="1" applyFill="1" applyAlignment="1">
      <alignment wrapText="1"/>
    </xf>
    <xf numFmtId="0" fontId="6" fillId="0" borderId="2" xfId="0" applyFont="1" applyBorder="1"/>
    <xf numFmtId="0" fontId="2" fillId="2" borderId="2" xfId="0" applyFont="1" applyFill="1" applyBorder="1" applyAlignment="1"/>
    <xf numFmtId="0" fontId="7" fillId="4" borderId="2" xfId="4" applyFont="1" applyFill="1" applyBorder="1" applyAlignment="1"/>
    <xf numFmtId="0" fontId="0" fillId="0" borderId="2" xfId="0" applyBorder="1"/>
    <xf numFmtId="0" fontId="4" fillId="0" borderId="0" xfId="3" applyAlignment="1" applyProtection="1"/>
    <xf numFmtId="0" fontId="0" fillId="0" borderId="0" xfId="0" applyBorder="1"/>
    <xf numFmtId="0" fontId="0" fillId="0" borderId="2" xfId="0" applyFill="1" applyBorder="1" applyAlignment="1"/>
    <xf numFmtId="0" fontId="8" fillId="0" borderId="2" xfId="0" applyFont="1" applyBorder="1"/>
    <xf numFmtId="0" fontId="0" fillId="0" borderId="3" xfId="0" applyFill="1" applyBorder="1"/>
    <xf numFmtId="0" fontId="0" fillId="0" borderId="0" xfId="0" applyFill="1" applyBorder="1" applyAlignment="1"/>
    <xf numFmtId="0" fontId="0" fillId="0" borderId="0" xfId="0" applyAlignment="1">
      <alignment wrapText="1"/>
    </xf>
    <xf numFmtId="0" fontId="8" fillId="0" borderId="3" xfId="0" applyFont="1" applyFill="1" applyBorder="1"/>
    <xf numFmtId="165" fontId="0" fillId="0" borderId="0" xfId="1" applyNumberFormat="1" applyFont="1"/>
    <xf numFmtId="43" fontId="0" fillId="0" borderId="0" xfId="1" applyNumberFormat="1" applyFont="1"/>
    <xf numFmtId="0" fontId="2" fillId="0" borderId="0" xfId="0" applyFont="1"/>
    <xf numFmtId="0" fontId="2" fillId="0" borderId="2" xfId="0" applyFont="1" applyBorder="1"/>
    <xf numFmtId="0" fontId="8" fillId="0" borderId="0" xfId="5" applyFont="1"/>
    <xf numFmtId="0" fontId="9" fillId="0" borderId="0" xfId="5"/>
    <xf numFmtId="165" fontId="9" fillId="0" borderId="0" xfId="1" applyNumberFormat="1" applyFont="1"/>
    <xf numFmtId="14" fontId="9" fillId="0" borderId="0" xfId="5" applyNumberFormat="1"/>
    <xf numFmtId="0" fontId="9" fillId="0" borderId="0" xfId="5" quotePrefix="1"/>
    <xf numFmtId="0" fontId="2" fillId="0" borderId="3" xfId="0" applyFont="1" applyFill="1" applyBorder="1"/>
    <xf numFmtId="2" fontId="0" fillId="0" borderId="0" xfId="0" applyNumberFormat="1"/>
    <xf numFmtId="0" fontId="0" fillId="0" borderId="3" xfId="0" applyFill="1" applyBorder="1" applyAlignment="1">
      <alignment horizontal="left"/>
    </xf>
    <xf numFmtId="0" fontId="2" fillId="0" borderId="4" xfId="0" applyFont="1" applyFill="1" applyBorder="1"/>
    <xf numFmtId="0" fontId="0" fillId="0" borderId="4" xfId="0" applyFill="1" applyBorder="1"/>
    <xf numFmtId="0" fontId="0" fillId="0" borderId="5" xfId="0" applyFill="1" applyBorder="1"/>
    <xf numFmtId="0" fontId="9" fillId="0" borderId="0" xfId="5" applyFont="1"/>
    <xf numFmtId="4" fontId="9" fillId="0" borderId="0" xfId="5" applyNumberFormat="1"/>
    <xf numFmtId="0" fontId="6" fillId="0" borderId="0" xfId="0" applyFont="1"/>
    <xf numFmtId="166" fontId="0" fillId="0" borderId="0" xfId="1" applyNumberFormat="1" applyFont="1"/>
    <xf numFmtId="0" fontId="0" fillId="0" borderId="4" xfId="0" applyFont="1" applyFill="1" applyBorder="1"/>
    <xf numFmtId="0" fontId="0" fillId="0" borderId="5" xfId="0" applyFont="1" applyFill="1" applyBorder="1"/>
    <xf numFmtId="0" fontId="2" fillId="0" borderId="0" xfId="0" applyFont="1" applyFill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 applyAlignment="1">
      <alignment horizontal="left"/>
    </xf>
    <xf numFmtId="0" fontId="6" fillId="0" borderId="4" xfId="0" applyFont="1" applyFill="1" applyBorder="1"/>
    <xf numFmtId="164" fontId="0" fillId="0" borderId="0" xfId="0" applyNumberFormat="1"/>
    <xf numFmtId="4" fontId="6" fillId="0" borderId="0" xfId="0" applyNumberFormat="1" applyFont="1"/>
    <xf numFmtId="0" fontId="8" fillId="0" borderId="3" xfId="0" quotePrefix="1" applyFont="1" applyFill="1" applyBorder="1" applyAlignment="1">
      <alignment horizontal="left"/>
    </xf>
    <xf numFmtId="14" fontId="6" fillId="0" borderId="0" xfId="0" applyNumberFormat="1" applyFont="1"/>
    <xf numFmtId="165" fontId="0" fillId="0" borderId="0" xfId="2" applyNumberFormat="1" applyFont="1"/>
    <xf numFmtId="0" fontId="0" fillId="0" borderId="2" xfId="0" applyBorder="1" applyAlignment="1">
      <alignment horizontal="left"/>
    </xf>
    <xf numFmtId="0" fontId="2" fillId="0" borderId="5" xfId="0" applyFont="1" applyBorder="1"/>
    <xf numFmtId="14" fontId="0" fillId="5" borderId="0" xfId="0" applyNumberFormat="1" applyFill="1" applyAlignment="1">
      <alignment horizontal="right"/>
    </xf>
  </cellXfs>
  <cellStyles count="6">
    <cellStyle name="Comma" xfId="1" builtinId="3"/>
    <cellStyle name="Comma 2" xfId="2"/>
    <cellStyle name="Hyperlink" xfId="3" builtinId="8"/>
    <cellStyle name="Normal" xfId="0" builtinId="0"/>
    <cellStyle name="Normal_FDO_GTSS_Upload" xfId="4"/>
    <cellStyle name="Normal_tweedy_021505" xf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oxy40\FXCON\tweedy_0215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oxy40\FXCON\WINNT\Profiles\ellarjj\LOCALS~1\Temp\d.notes.Data\Shared\CORE\Globallink\Global%20Link%20Integration\StStreet%20Reasearch\TEMP\d.notes.Data\TEMP\d.notes.Data\TEMP\d.notes.Data\Integration\PIMCO\Client%20Files\Marsico\Marsico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Quick FXC"/>
      <sheetName val="Blotter"/>
      <sheetName val="Config"/>
      <sheetName val="accounts"/>
      <sheetName val="curr list"/>
      <sheetName val="Export"/>
      <sheetName val="Import"/>
      <sheetName val="Setup"/>
      <sheetName val="file export page"/>
    </sheetNames>
    <sheetDataSet>
      <sheetData sheetId="0"/>
      <sheetData sheetId="1"/>
      <sheetData sheetId="2">
        <row r="7">
          <cell r="I7" t="str">
            <v>BUY</v>
          </cell>
        </row>
        <row r="8">
          <cell r="I8" t="str">
            <v>SELL</v>
          </cell>
        </row>
      </sheetData>
      <sheetData sheetId="3">
        <row r="5">
          <cell r="A5" t="str">
            <v>TBGVX</v>
          </cell>
        </row>
        <row r="6">
          <cell r="A6" t="str">
            <v>TWEBX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Blotter"/>
      <sheetName val="Summary"/>
      <sheetName val="Import"/>
      <sheetName val="Config"/>
      <sheetName val="Marsico"/>
    </sheetNames>
    <sheetDataSet>
      <sheetData sheetId="0" refreshError="1"/>
      <sheetData sheetId="1" refreshError="1"/>
      <sheetData sheetId="2" refreshError="1"/>
      <sheetData sheetId="3">
        <row r="8">
          <cell r="A8" t="str">
            <v>Wade</v>
          </cell>
          <cell r="B8" t="str">
            <v>MSR1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java.sun.com/getjava/download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M15"/>
  <sheetViews>
    <sheetView topLeftCell="A7" zoomScale="85" workbookViewId="0">
      <selection activeCell="L9" sqref="L9"/>
    </sheetView>
  </sheetViews>
  <sheetFormatPr defaultRowHeight="13.2"/>
  <cols>
    <col min="1" max="1" width="9.6640625" customWidth="1"/>
    <col min="2" max="2" width="5.109375" customWidth="1"/>
    <col min="3" max="3" width="4.109375" customWidth="1"/>
    <col min="4" max="4" width="5" customWidth="1"/>
    <col min="5" max="5" width="19.33203125" customWidth="1"/>
    <col min="6" max="6" width="10.6640625" customWidth="1"/>
    <col min="7" max="7" width="10.44140625" customWidth="1"/>
    <col min="8" max="8" width="12.33203125" customWidth="1"/>
    <col min="9" max="9" width="14.88671875" customWidth="1"/>
    <col min="10" max="10" width="12.88671875" customWidth="1"/>
    <col min="12" max="12" width="14.5546875" customWidth="1"/>
    <col min="13" max="13" width="12.5546875" customWidth="1"/>
  </cols>
  <sheetData>
    <row r="1" spans="1:13" ht="15.6">
      <c r="A1" s="7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</row>
    <row r="4" spans="1:13" ht="13.8" thickBot="1">
      <c r="A4" s="3" t="s">
        <v>1</v>
      </c>
      <c r="B4" s="3" t="s">
        <v>2</v>
      </c>
      <c r="C4" s="3" t="s">
        <v>3</v>
      </c>
      <c r="D4" s="3" t="s">
        <v>4</v>
      </c>
      <c r="E4" s="5" t="s">
        <v>5</v>
      </c>
      <c r="F4" s="5" t="s">
        <v>6</v>
      </c>
      <c r="G4" s="3" t="s">
        <v>7</v>
      </c>
      <c r="H4" s="3" t="s">
        <v>8</v>
      </c>
      <c r="I4" s="5" t="s">
        <v>9</v>
      </c>
      <c r="J4" s="5" t="s">
        <v>10</v>
      </c>
      <c r="K4" s="5" t="s">
        <v>11</v>
      </c>
      <c r="L4" s="5" t="s">
        <v>12</v>
      </c>
      <c r="M4" s="5" t="s">
        <v>13</v>
      </c>
    </row>
    <row r="5" spans="1:13">
      <c r="A5" s="2"/>
      <c r="C5" s="44"/>
      <c r="E5" s="1"/>
      <c r="F5" s="44"/>
      <c r="G5" s="53"/>
      <c r="J5" s="1"/>
      <c r="K5" s="2"/>
      <c r="L5" s="44"/>
      <c r="M5" s="1"/>
    </row>
    <row r="6" spans="1:13">
      <c r="E6" s="1"/>
      <c r="F6" s="1"/>
      <c r="G6" s="6"/>
      <c r="I6" s="8"/>
      <c r="J6" s="1"/>
      <c r="K6" s="9"/>
      <c r="M6" s="1"/>
    </row>
    <row r="7" spans="1:13">
      <c r="E7" s="1"/>
      <c r="F7" s="1"/>
      <c r="G7" s="6"/>
      <c r="I7" s="4"/>
      <c r="J7" s="1"/>
      <c r="K7" s="9"/>
      <c r="M7" s="1"/>
    </row>
    <row r="8" spans="1:13">
      <c r="E8" s="1"/>
      <c r="F8" s="1"/>
      <c r="G8" s="6"/>
      <c r="I8" s="4"/>
      <c r="J8" s="1"/>
      <c r="K8" s="9"/>
      <c r="M8" s="1"/>
    </row>
    <row r="9" spans="1:13">
      <c r="E9" s="1"/>
      <c r="F9" s="1"/>
      <c r="G9" s="6"/>
      <c r="I9" s="4"/>
      <c r="J9" s="1"/>
      <c r="K9" s="2"/>
      <c r="M9" s="1"/>
    </row>
    <row r="10" spans="1:13">
      <c r="E10" s="1"/>
      <c r="F10" s="1"/>
      <c r="G10" s="6"/>
      <c r="I10" s="4"/>
      <c r="J10" s="1"/>
      <c r="K10" s="2"/>
    </row>
    <row r="11" spans="1:13">
      <c r="E11" s="1"/>
      <c r="F11" s="1"/>
      <c r="G11" s="6"/>
      <c r="I11" s="4"/>
      <c r="J11" s="1"/>
      <c r="K11" s="2"/>
      <c r="M11" s="1"/>
    </row>
    <row r="12" spans="1:13">
      <c r="E12" s="1"/>
      <c r="F12" s="1"/>
      <c r="G12" s="6"/>
      <c r="I12" s="4"/>
      <c r="J12" s="1"/>
      <c r="K12" s="2"/>
    </row>
    <row r="13" spans="1:13">
      <c r="E13" s="1"/>
      <c r="F13" s="1"/>
      <c r="G13" s="6"/>
      <c r="I13" s="4"/>
      <c r="J13" s="1"/>
      <c r="K13" s="2"/>
      <c r="M13" s="1"/>
    </row>
    <row r="15" spans="1:13">
      <c r="M15" s="1"/>
    </row>
  </sheetData>
  <phoneticPr fontId="0" type="noConversion"/>
  <dataValidations count="2">
    <dataValidation type="list" allowBlank="1" showInputMessage="1" showErrorMessage="1" sqref="L5:L225">
      <formula1>bankList</formula1>
    </dataValidation>
    <dataValidation type="list" allowBlank="1" showInputMessage="1" showErrorMessage="1" sqref="B5">
      <formula1>fxnamelist</formula1>
    </dataValidation>
  </dataValidations>
  <pageMargins left="0.75" right="0.75" top="1" bottom="1" header="0.5" footer="0.5"/>
  <pageSetup scale="80" fitToHeight="100" orientation="landscape" horizontalDpi="200" verticalDpi="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O65432"/>
  <sheetViews>
    <sheetView tabSelected="1" showWhiteSpace="0" zoomScale="80" zoomScaleNormal="80" workbookViewId="0">
      <selection activeCell="A5" sqref="A5"/>
    </sheetView>
  </sheetViews>
  <sheetFormatPr defaultRowHeight="13.2"/>
  <cols>
    <col min="1" max="1" width="10.6640625" customWidth="1"/>
    <col min="2" max="2" width="9" customWidth="1"/>
    <col min="3" max="3" width="4.109375" customWidth="1"/>
    <col min="4" max="4" width="4.6640625" customWidth="1"/>
    <col min="5" max="5" width="22.88671875" customWidth="1"/>
    <col min="6" max="6" width="10.6640625" customWidth="1"/>
    <col min="7" max="7" width="10.44140625" customWidth="1"/>
    <col min="8" max="8" width="12.33203125" customWidth="1"/>
    <col min="9" max="9" width="14.88671875" customWidth="1"/>
    <col min="10" max="10" width="16.44140625" customWidth="1"/>
    <col min="11" max="11" width="20.6640625" customWidth="1"/>
    <col min="12" max="12" width="10.44140625" customWidth="1"/>
    <col min="13" max="13" width="13.88671875" bestFit="1" customWidth="1"/>
    <col min="14" max="15" width="14.44140625" bestFit="1" customWidth="1"/>
  </cols>
  <sheetData>
    <row r="1" spans="1:15" ht="15.6">
      <c r="A1" s="7" t="s">
        <v>168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</row>
    <row r="3" spans="1:15" ht="29.25" customHeight="1"/>
    <row r="4" spans="1:15" ht="13.8" thickBot="1">
      <c r="A4" s="3" t="s">
        <v>36</v>
      </c>
      <c r="B4" s="3" t="s">
        <v>2</v>
      </c>
      <c r="C4" s="3" t="s">
        <v>3</v>
      </c>
      <c r="D4" s="3" t="s">
        <v>4</v>
      </c>
      <c r="E4" s="5" t="s">
        <v>5</v>
      </c>
      <c r="F4" s="5" t="s">
        <v>6</v>
      </c>
      <c r="G4" s="3" t="s">
        <v>7</v>
      </c>
      <c r="H4" s="3" t="s">
        <v>8</v>
      </c>
      <c r="I4" s="5" t="s">
        <v>9</v>
      </c>
      <c r="J4" s="5" t="s">
        <v>10</v>
      </c>
      <c r="K4" s="5" t="s">
        <v>11</v>
      </c>
      <c r="L4" s="5" t="s">
        <v>12</v>
      </c>
      <c r="M4" s="5"/>
      <c r="N4" s="5" t="s">
        <v>37</v>
      </c>
      <c r="O4" s="5"/>
    </row>
    <row r="5" spans="1:15">
      <c r="A5" s="2">
        <v>43235</v>
      </c>
      <c r="B5" s="44" t="s">
        <v>253</v>
      </c>
      <c r="C5" t="s">
        <v>285</v>
      </c>
      <c r="D5" t="s">
        <v>105</v>
      </c>
      <c r="E5" s="1">
        <v>1370000000</v>
      </c>
      <c r="F5" t="s">
        <v>20</v>
      </c>
      <c r="G5">
        <v>1058.0999999999999</v>
      </c>
      <c r="I5" s="44">
        <v>1058.0999999999999</v>
      </c>
      <c r="J5" s="1">
        <v>1294773.6499999999</v>
      </c>
      <c r="K5" s="2">
        <v>43194</v>
      </c>
      <c r="L5" s="44" t="s">
        <v>187</v>
      </c>
      <c r="N5" t="s">
        <v>286</v>
      </c>
    </row>
    <row r="6" spans="1:15">
      <c r="A6" s="2"/>
      <c r="B6" s="44"/>
      <c r="E6" s="1"/>
      <c r="I6" s="44"/>
      <c r="J6" s="1"/>
      <c r="K6" s="2"/>
      <c r="L6" s="44"/>
    </row>
    <row r="7" spans="1:15">
      <c r="A7" s="2"/>
      <c r="B7" s="44"/>
      <c r="E7" s="1"/>
      <c r="I7" s="44"/>
      <c r="J7" s="1"/>
      <c r="K7" s="2"/>
      <c r="L7" s="44"/>
    </row>
    <row r="8" spans="1:15">
      <c r="A8" s="2"/>
      <c r="E8" s="1"/>
      <c r="H8" s="44"/>
      <c r="I8" s="44"/>
      <c r="J8" s="1"/>
      <c r="K8" s="2"/>
      <c r="L8" s="44"/>
    </row>
    <row r="9" spans="1:15">
      <c r="A9" s="2"/>
      <c r="E9" s="1"/>
      <c r="H9" s="44"/>
      <c r="I9" s="44"/>
      <c r="J9" s="1"/>
      <c r="K9" s="2"/>
      <c r="L9" s="44"/>
    </row>
    <row r="10" spans="1:15">
      <c r="A10" s="2"/>
      <c r="D10" s="44"/>
      <c r="E10" s="1"/>
      <c r="H10" s="44"/>
      <c r="I10" s="44"/>
      <c r="J10" s="1"/>
      <c r="K10" s="2"/>
      <c r="L10" s="44"/>
    </row>
    <row r="11" spans="1:15">
      <c r="A11" s="2"/>
      <c r="E11" s="1"/>
      <c r="J11" s="1"/>
      <c r="K11" s="2"/>
      <c r="L11" s="44"/>
    </row>
    <row r="12" spans="1:15">
      <c r="A12" s="2"/>
      <c r="E12" s="1"/>
      <c r="I12" s="44"/>
      <c r="J12" s="1"/>
      <c r="K12" s="2"/>
      <c r="L12" s="44"/>
    </row>
    <row r="13" spans="1:15">
      <c r="A13" s="2"/>
      <c r="E13" s="1"/>
      <c r="I13" s="44"/>
      <c r="J13" s="1"/>
      <c r="K13" s="2"/>
      <c r="L13" s="44"/>
    </row>
    <row r="14" spans="1:15">
      <c r="A14" s="60"/>
      <c r="C14" s="44"/>
      <c r="D14" s="44"/>
      <c r="E14" s="1"/>
      <c r="J14" s="1"/>
      <c r="K14" s="60"/>
      <c r="L14" s="44"/>
    </row>
    <row r="15" spans="1:15">
      <c r="A15" s="60"/>
      <c r="E15" s="1"/>
      <c r="I15" s="44"/>
      <c r="J15" s="1"/>
      <c r="K15" s="60"/>
      <c r="L15" s="44"/>
    </row>
    <row r="16" spans="1:15">
      <c r="A16" s="60"/>
      <c r="E16" s="1"/>
      <c r="I16" s="44"/>
      <c r="J16" s="1"/>
      <c r="K16" s="60"/>
      <c r="L16" s="44"/>
    </row>
    <row r="17" spans="1:14">
      <c r="A17" s="60"/>
      <c r="E17" s="1"/>
      <c r="F17" s="44"/>
      <c r="I17" s="44"/>
      <c r="J17" s="1"/>
      <c r="K17" s="60"/>
      <c r="L17" s="44"/>
    </row>
    <row r="18" spans="1:14">
      <c r="A18" s="2"/>
      <c r="B18" s="44"/>
      <c r="E18" s="1"/>
      <c r="I18" s="44"/>
      <c r="J18" s="1"/>
      <c r="K18" s="2"/>
      <c r="L18" s="44"/>
    </row>
    <row r="19" spans="1:14">
      <c r="A19" s="2"/>
      <c r="E19" s="1"/>
      <c r="I19" s="44"/>
      <c r="J19" s="1"/>
      <c r="K19" s="2"/>
      <c r="L19" s="44"/>
    </row>
    <row r="20" spans="1:14">
      <c r="A20" s="2"/>
      <c r="E20" s="1"/>
      <c r="I20" s="44"/>
      <c r="J20" s="1"/>
      <c r="K20" s="2"/>
      <c r="L20" s="44"/>
    </row>
    <row r="21" spans="1:14">
      <c r="A21" s="2"/>
      <c r="E21" s="1"/>
      <c r="H21" s="44"/>
      <c r="I21" s="44"/>
      <c r="J21" s="1"/>
      <c r="K21" s="2"/>
      <c r="L21" s="44"/>
      <c r="N21" s="44"/>
    </row>
    <row r="22" spans="1:14">
      <c r="A22" s="2"/>
      <c r="E22" s="1"/>
      <c r="H22" s="44"/>
      <c r="I22" s="44"/>
      <c r="J22" s="1"/>
      <c r="K22" s="2"/>
      <c r="L22" s="44"/>
    </row>
    <row r="23" spans="1:14">
      <c r="A23" s="2"/>
      <c r="B23" s="44"/>
      <c r="E23" s="1"/>
      <c r="H23" s="44"/>
      <c r="I23" s="44"/>
      <c r="J23" s="1"/>
      <c r="K23" s="2"/>
      <c r="L23" s="44"/>
      <c r="M23" s="1"/>
    </row>
    <row r="24" spans="1:14">
      <c r="A24" s="2"/>
      <c r="E24" s="1"/>
      <c r="F24" s="44"/>
      <c r="J24" s="1"/>
      <c r="K24" s="2"/>
      <c r="L24" s="44"/>
    </row>
    <row r="25" spans="1:14">
      <c r="A25" s="2"/>
      <c r="E25" s="1"/>
      <c r="I25" s="44"/>
      <c r="J25" s="1"/>
      <c r="K25" s="2"/>
      <c r="L25" s="44"/>
    </row>
    <row r="26" spans="1:14">
      <c r="A26" s="2"/>
      <c r="B26" s="44"/>
      <c r="E26" s="1"/>
      <c r="F26" s="44"/>
      <c r="H26" s="44"/>
      <c r="I26" s="44"/>
      <c r="J26" s="1"/>
      <c r="K26" s="56"/>
      <c r="L26" s="44"/>
      <c r="M26" s="1"/>
    </row>
    <row r="27" spans="1:14">
      <c r="A27" s="2"/>
      <c r="D27" s="44"/>
      <c r="E27" s="1"/>
      <c r="I27" s="44"/>
      <c r="J27" s="1"/>
      <c r="K27" s="2"/>
      <c r="L27" s="44"/>
    </row>
    <row r="28" spans="1:14">
      <c r="A28" s="2"/>
      <c r="E28" s="1"/>
      <c r="I28" s="44"/>
      <c r="J28" s="1"/>
      <c r="K28" s="2"/>
      <c r="L28" s="44"/>
    </row>
    <row r="29" spans="1:14">
      <c r="A29" s="2"/>
      <c r="E29" s="1"/>
      <c r="I29" s="44"/>
      <c r="J29" s="1"/>
      <c r="K29" s="2"/>
      <c r="L29" s="44"/>
    </row>
    <row r="30" spans="1:14">
      <c r="A30" s="2"/>
      <c r="E30" s="1"/>
      <c r="I30" s="44"/>
      <c r="J30" s="1"/>
      <c r="K30" s="2"/>
      <c r="L30" s="44"/>
    </row>
    <row r="31" spans="1:14">
      <c r="A31" s="2"/>
      <c r="E31" s="1"/>
      <c r="I31" s="44"/>
      <c r="J31" s="1"/>
      <c r="K31" s="2"/>
      <c r="L31" s="44"/>
    </row>
    <row r="32" spans="1:14">
      <c r="A32" s="2"/>
      <c r="E32" s="1"/>
      <c r="J32" s="1"/>
      <c r="K32" s="2"/>
      <c r="L32" s="44"/>
    </row>
    <row r="33" spans="1:12">
      <c r="A33" s="2"/>
      <c r="E33" s="1"/>
      <c r="J33" s="1"/>
      <c r="K33" s="2"/>
      <c r="L33" s="44"/>
    </row>
    <row r="34" spans="1:12">
      <c r="A34" s="2"/>
      <c r="E34" s="1"/>
      <c r="J34" s="1"/>
      <c r="K34" s="2"/>
      <c r="L34" s="44"/>
    </row>
    <row r="35" spans="1:12">
      <c r="A35" s="2"/>
      <c r="E35" s="1"/>
      <c r="J35" s="1"/>
      <c r="K35" s="2"/>
      <c r="L35" s="44"/>
    </row>
    <row r="36" spans="1:12">
      <c r="A36" s="2"/>
      <c r="E36" s="1"/>
      <c r="J36" s="1"/>
      <c r="K36" s="2"/>
      <c r="L36" s="44"/>
    </row>
    <row r="37" spans="1:12">
      <c r="A37" s="2"/>
      <c r="E37" s="1"/>
      <c r="J37" s="1"/>
      <c r="K37" s="2"/>
      <c r="L37" s="44"/>
    </row>
    <row r="38" spans="1:12">
      <c r="A38" s="2"/>
      <c r="E38" s="1"/>
      <c r="J38" s="1"/>
      <c r="K38" s="2"/>
      <c r="L38" s="44"/>
    </row>
    <row r="39" spans="1:12">
      <c r="A39" s="2"/>
      <c r="E39" s="1"/>
      <c r="H39" s="44"/>
      <c r="I39" s="44"/>
      <c r="J39" s="1"/>
      <c r="K39" s="2"/>
      <c r="L39" s="44"/>
    </row>
    <row r="40" spans="1:12">
      <c r="A40" s="2"/>
      <c r="E40" s="1"/>
      <c r="F40" s="44"/>
      <c r="I40" s="44"/>
      <c r="J40" s="1"/>
      <c r="K40" s="2"/>
      <c r="L40" s="44"/>
    </row>
    <row r="41" spans="1:12">
      <c r="A41" s="2"/>
      <c r="E41" s="1"/>
      <c r="F41" s="44"/>
      <c r="I41" s="44"/>
      <c r="J41" s="54"/>
      <c r="K41" s="2"/>
      <c r="L41" s="44"/>
    </row>
    <row r="42" spans="1:12">
      <c r="A42" s="2"/>
      <c r="E42" s="1"/>
      <c r="J42" s="1"/>
      <c r="K42" s="2"/>
      <c r="L42" s="44"/>
    </row>
    <row r="43" spans="1:12">
      <c r="A43" s="2"/>
      <c r="E43" s="1"/>
      <c r="J43" s="1"/>
      <c r="K43" s="2"/>
      <c r="L43" s="44"/>
    </row>
    <row r="44" spans="1:12">
      <c r="A44" s="2"/>
      <c r="E44" s="1"/>
      <c r="J44" s="1"/>
      <c r="K44" s="2"/>
      <c r="L44" s="44"/>
    </row>
    <row r="45" spans="1:12">
      <c r="A45" s="2"/>
      <c r="E45" s="1"/>
      <c r="J45" s="1"/>
      <c r="K45" s="2"/>
      <c r="L45" s="44"/>
    </row>
    <row r="46" spans="1:12">
      <c r="A46" s="2"/>
      <c r="L46" s="44"/>
    </row>
    <row r="47" spans="1:12">
      <c r="A47" s="2"/>
    </row>
    <row r="48" spans="1:12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65432" spans="10:10">
      <c r="J65432">
        <v>214314.7</v>
      </c>
    </row>
  </sheetData>
  <phoneticPr fontId="0" type="noConversion"/>
  <dataValidations count="2">
    <dataValidation type="list" allowBlank="1" showInputMessage="1" showErrorMessage="1" sqref="B5:B42">
      <formula1>fxnamelist</formula1>
    </dataValidation>
    <dataValidation type="list" allowBlank="1" showInputMessage="1" showErrorMessage="1" sqref="L5:L42">
      <formula1>bankList</formula1>
    </dataValidation>
  </dataValidations>
  <pageMargins left="0.39" right="0.54" top="0.6" bottom="0.56000000000000005" header="0.5" footer="0.5"/>
  <pageSetup scale="75" fitToHeight="100" orientation="landscape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K60"/>
  <sheetViews>
    <sheetView topLeftCell="A4" workbookViewId="0">
      <selection activeCell="G3" sqref="G3"/>
    </sheetView>
  </sheetViews>
  <sheetFormatPr defaultRowHeight="13.2"/>
  <cols>
    <col min="1" max="1" width="30.88671875" customWidth="1"/>
    <col min="2" max="2" width="12.5546875" customWidth="1"/>
    <col min="3" max="3" width="17.5546875" bestFit="1" customWidth="1"/>
    <col min="4" max="4" width="10.33203125" customWidth="1"/>
    <col min="5" max="8" width="11.33203125" bestFit="1" customWidth="1"/>
    <col min="9" max="9" width="12.88671875" bestFit="1" customWidth="1"/>
    <col min="10" max="10" width="11.33203125" bestFit="1" customWidth="1"/>
    <col min="11" max="11" width="12.109375" customWidth="1"/>
    <col min="12" max="12" width="14" bestFit="1" customWidth="1"/>
    <col min="13" max="13" width="11.44140625" bestFit="1" customWidth="1"/>
    <col min="14" max="19" width="11.33203125" bestFit="1" customWidth="1"/>
  </cols>
  <sheetData>
    <row r="1" spans="1:21">
      <c r="D1" s="29" t="s">
        <v>111</v>
      </c>
    </row>
    <row r="2" spans="1:21">
      <c r="A2" s="22" t="s">
        <v>74</v>
      </c>
      <c r="B2" s="22" t="s">
        <v>76</v>
      </c>
      <c r="C2" s="22" t="s">
        <v>75</v>
      </c>
      <c r="D2" s="26" t="s">
        <v>100</v>
      </c>
      <c r="E2" s="26" t="s">
        <v>101</v>
      </c>
      <c r="F2" s="26" t="s">
        <v>19</v>
      </c>
      <c r="G2" s="26" t="s">
        <v>284</v>
      </c>
      <c r="H2" s="26" t="s">
        <v>103</v>
      </c>
      <c r="I2" s="26" t="s">
        <v>18</v>
      </c>
      <c r="J2" s="26" t="s">
        <v>21</v>
      </c>
      <c r="K2" s="26" t="s">
        <v>104</v>
      </c>
      <c r="L2" s="26" t="s">
        <v>23</v>
      </c>
      <c r="M2" s="26" t="s">
        <v>105</v>
      </c>
      <c r="N2" s="26" t="s">
        <v>106</v>
      </c>
      <c r="O2" s="26" t="s">
        <v>107</v>
      </c>
      <c r="P2" s="26" t="s">
        <v>108</v>
      </c>
      <c r="Q2" s="26" t="s">
        <v>109</v>
      </c>
      <c r="R2" s="26" t="s">
        <v>110</v>
      </c>
      <c r="S2" s="55" t="s">
        <v>161</v>
      </c>
      <c r="T2" s="26" t="s">
        <v>20</v>
      </c>
      <c r="U2" s="26" t="s">
        <v>169</v>
      </c>
    </row>
    <row r="3" spans="1:21">
      <c r="A3" s="22"/>
      <c r="B3" s="22"/>
      <c r="C3" s="22" t="s">
        <v>77</v>
      </c>
      <c r="D3" s="45">
        <v>0.71</v>
      </c>
      <c r="E3" s="45">
        <v>1.3049999999999999</v>
      </c>
      <c r="F3" s="45">
        <v>0.97899999999999998</v>
      </c>
      <c r="G3" s="45">
        <v>591.4</v>
      </c>
      <c r="H3" s="45">
        <v>6.7244999999999999</v>
      </c>
      <c r="I3" s="45">
        <v>1.113</v>
      </c>
      <c r="J3" s="45">
        <v>1.3380000000000001</v>
      </c>
      <c r="K3" s="45">
        <v>7.7590000000000003</v>
      </c>
      <c r="L3" s="45">
        <v>102.5</v>
      </c>
      <c r="M3" s="45">
        <v>1168</v>
      </c>
      <c r="N3" s="45">
        <v>18.899999999999999</v>
      </c>
      <c r="O3" s="45">
        <v>8.4749999999999996</v>
      </c>
      <c r="P3" s="45">
        <v>0.70650000000000002</v>
      </c>
      <c r="Q3" s="45">
        <v>8.5299999999999994</v>
      </c>
      <c r="R3" s="45">
        <v>1.355</v>
      </c>
      <c r="S3" s="45">
        <v>35.25</v>
      </c>
      <c r="T3" s="28">
        <v>1</v>
      </c>
    </row>
    <row r="4" spans="1:21">
      <c r="A4" s="18"/>
      <c r="B4" s="18"/>
      <c r="C4" s="18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</row>
    <row r="5" spans="1:21">
      <c r="A5" s="18" t="s">
        <v>236</v>
      </c>
      <c r="B5" s="18" t="s">
        <v>92</v>
      </c>
      <c r="C5" s="15" t="s">
        <v>221</v>
      </c>
      <c r="D5" s="57">
        <v>200000</v>
      </c>
      <c r="E5" s="57">
        <v>200000</v>
      </c>
      <c r="F5" s="57">
        <v>400000</v>
      </c>
      <c r="G5" s="57">
        <v>200000</v>
      </c>
      <c r="H5" s="57">
        <v>200000</v>
      </c>
      <c r="I5" s="57">
        <v>600000</v>
      </c>
      <c r="J5" s="57">
        <v>400000</v>
      </c>
      <c r="K5" s="57">
        <v>0</v>
      </c>
      <c r="L5" s="57">
        <v>400000</v>
      </c>
      <c r="M5" s="57">
        <v>300000</v>
      </c>
      <c r="N5" s="57">
        <v>300000</v>
      </c>
      <c r="O5" s="57">
        <v>200000</v>
      </c>
      <c r="P5" s="57">
        <v>200000</v>
      </c>
      <c r="Q5" s="57">
        <v>200000</v>
      </c>
      <c r="R5" s="57">
        <v>300000</v>
      </c>
      <c r="S5" s="57">
        <v>300000</v>
      </c>
      <c r="T5" s="57"/>
      <c r="U5" t="s">
        <v>20</v>
      </c>
    </row>
    <row r="6" spans="1:21">
      <c r="A6" s="18" t="s">
        <v>78</v>
      </c>
      <c r="B6" s="18" t="s">
        <v>176</v>
      </c>
      <c r="C6" s="18" t="s">
        <v>22</v>
      </c>
      <c r="D6" s="57">
        <v>300000</v>
      </c>
      <c r="E6" s="57">
        <v>200000</v>
      </c>
      <c r="F6" s="57">
        <v>300000</v>
      </c>
      <c r="G6" s="57">
        <v>200000</v>
      </c>
      <c r="H6" s="57">
        <v>300000</v>
      </c>
      <c r="I6" s="57">
        <v>400000</v>
      </c>
      <c r="J6" s="57">
        <v>300000</v>
      </c>
      <c r="K6" s="57">
        <v>200000</v>
      </c>
      <c r="L6" s="57">
        <v>200000</v>
      </c>
      <c r="M6" s="57">
        <v>200000</v>
      </c>
      <c r="N6" s="57">
        <v>200000</v>
      </c>
      <c r="O6" s="57">
        <v>200000</v>
      </c>
      <c r="P6" s="57">
        <v>200000</v>
      </c>
      <c r="Q6" s="57">
        <v>200000</v>
      </c>
      <c r="R6" s="57">
        <v>200000</v>
      </c>
      <c r="S6" s="57">
        <v>200000</v>
      </c>
      <c r="T6" s="57">
        <v>200000</v>
      </c>
      <c r="U6" t="s">
        <v>18</v>
      </c>
    </row>
    <row r="7" spans="1:21">
      <c r="A7" s="18" t="s">
        <v>183</v>
      </c>
      <c r="B7" s="58" t="s">
        <v>185</v>
      </c>
      <c r="C7" s="18" t="s">
        <v>184</v>
      </c>
      <c r="D7" s="57">
        <v>300000</v>
      </c>
      <c r="E7" s="57">
        <v>200000</v>
      </c>
      <c r="F7" s="57">
        <v>300000</v>
      </c>
      <c r="G7" s="57">
        <v>200000</v>
      </c>
      <c r="H7" s="57">
        <v>300000</v>
      </c>
      <c r="I7" s="57">
        <v>400000</v>
      </c>
      <c r="J7" s="57">
        <v>300000</v>
      </c>
      <c r="K7" s="57">
        <v>200000</v>
      </c>
      <c r="L7" s="57">
        <v>200000</v>
      </c>
      <c r="M7" s="57">
        <v>200000</v>
      </c>
      <c r="N7" s="57">
        <v>200000</v>
      </c>
      <c r="O7" s="57">
        <v>200000</v>
      </c>
      <c r="P7" s="57">
        <v>200000</v>
      </c>
      <c r="Q7" s="57">
        <v>200000</v>
      </c>
      <c r="R7" s="57">
        <v>200000</v>
      </c>
      <c r="S7" s="57">
        <v>200000</v>
      </c>
      <c r="T7" s="57">
        <v>200000</v>
      </c>
      <c r="U7" t="s">
        <v>18</v>
      </c>
    </row>
    <row r="8" spans="1:21">
      <c r="A8" s="18" t="s">
        <v>79</v>
      </c>
      <c r="B8" s="18" t="s">
        <v>175</v>
      </c>
      <c r="C8" s="18" t="s">
        <v>24</v>
      </c>
      <c r="D8" s="57">
        <v>200000</v>
      </c>
      <c r="E8" s="57">
        <v>300000</v>
      </c>
      <c r="F8" s="57">
        <v>500000</v>
      </c>
      <c r="G8" s="57">
        <v>200000</v>
      </c>
      <c r="H8" s="57">
        <v>300000</v>
      </c>
      <c r="I8" s="57">
        <v>1000000</v>
      </c>
      <c r="J8" s="57">
        <v>500000</v>
      </c>
      <c r="K8" s="57">
        <v>200000</v>
      </c>
      <c r="L8" s="57">
        <v>500000</v>
      </c>
      <c r="M8" s="57">
        <v>400000</v>
      </c>
      <c r="N8" s="57">
        <v>400000</v>
      </c>
      <c r="O8" s="57">
        <v>300000</v>
      </c>
      <c r="P8" s="57">
        <v>300000</v>
      </c>
      <c r="Q8" s="57">
        <v>300000</v>
      </c>
      <c r="R8" s="57">
        <v>500000</v>
      </c>
      <c r="S8" s="57">
        <v>500000</v>
      </c>
      <c r="T8" s="57">
        <v>400000</v>
      </c>
      <c r="U8" t="s">
        <v>19</v>
      </c>
    </row>
    <row r="9" spans="1:21">
      <c r="A9" s="18" t="s">
        <v>252</v>
      </c>
      <c r="B9" s="18" t="s">
        <v>253</v>
      </c>
      <c r="C9" s="18" t="s">
        <v>254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250000</v>
      </c>
      <c r="J9" s="57">
        <v>250000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v>0</v>
      </c>
      <c r="Q9" s="57">
        <v>0</v>
      </c>
      <c r="R9" s="57">
        <v>0</v>
      </c>
      <c r="S9" s="57">
        <v>0</v>
      </c>
      <c r="T9" s="57"/>
      <c r="U9" t="s">
        <v>20</v>
      </c>
    </row>
    <row r="10" spans="1:21">
      <c r="A10" s="18" t="s">
        <v>80</v>
      </c>
      <c r="B10" s="18" t="s">
        <v>93</v>
      </c>
      <c r="C10" s="18" t="s">
        <v>81</v>
      </c>
      <c r="D10" s="57">
        <v>200000</v>
      </c>
      <c r="E10" s="57">
        <v>200000</v>
      </c>
      <c r="F10" s="57">
        <v>200000</v>
      </c>
      <c r="G10" s="57">
        <v>200000</v>
      </c>
      <c r="H10" s="57">
        <v>200000</v>
      </c>
      <c r="I10" s="57">
        <v>200000</v>
      </c>
      <c r="J10" s="57">
        <v>200000</v>
      </c>
      <c r="K10" s="57">
        <v>0.01</v>
      </c>
      <c r="L10" s="57">
        <v>200000</v>
      </c>
      <c r="M10" s="57">
        <v>200000</v>
      </c>
      <c r="N10" s="57">
        <v>200000</v>
      </c>
      <c r="O10" s="57">
        <v>200000</v>
      </c>
      <c r="P10" s="57">
        <v>200000</v>
      </c>
      <c r="Q10" s="57">
        <v>200000</v>
      </c>
      <c r="R10" s="57">
        <v>200000</v>
      </c>
      <c r="S10" s="57">
        <v>200000</v>
      </c>
      <c r="T10" s="57"/>
      <c r="U10" t="s">
        <v>20</v>
      </c>
    </row>
    <row r="11" spans="1:21">
      <c r="A11" s="18" t="s">
        <v>82</v>
      </c>
      <c r="B11" s="18" t="s">
        <v>94</v>
      </c>
      <c r="C11" s="18" t="s">
        <v>83</v>
      </c>
      <c r="D11" s="57">
        <v>200000</v>
      </c>
      <c r="E11" s="57">
        <v>200000</v>
      </c>
      <c r="F11" s="57">
        <v>300000</v>
      </c>
      <c r="G11" s="57">
        <v>200000</v>
      </c>
      <c r="H11" s="57">
        <v>200000</v>
      </c>
      <c r="I11" s="57">
        <v>500000</v>
      </c>
      <c r="J11" s="57">
        <v>300000</v>
      </c>
      <c r="K11" s="57">
        <v>0.01</v>
      </c>
      <c r="L11" s="57">
        <v>300000</v>
      </c>
      <c r="M11" s="57">
        <v>200000</v>
      </c>
      <c r="N11" s="57">
        <v>300000</v>
      </c>
      <c r="O11" s="57">
        <v>200000</v>
      </c>
      <c r="P11" s="57">
        <v>200000</v>
      </c>
      <c r="Q11" s="57">
        <v>200000</v>
      </c>
      <c r="R11" s="57">
        <v>300000</v>
      </c>
      <c r="S11" s="57">
        <v>300000</v>
      </c>
      <c r="T11" s="57"/>
      <c r="U11" t="s">
        <v>20</v>
      </c>
    </row>
    <row r="12" spans="1:21">
      <c r="A12" s="18" t="s">
        <v>84</v>
      </c>
      <c r="B12" s="18" t="s">
        <v>95</v>
      </c>
      <c r="C12" s="18" t="s">
        <v>85</v>
      </c>
      <c r="D12" s="57">
        <v>200000</v>
      </c>
      <c r="E12" s="57">
        <v>300000</v>
      </c>
      <c r="F12" s="57">
        <v>600000</v>
      </c>
      <c r="G12" s="57">
        <v>200000</v>
      </c>
      <c r="H12" s="57">
        <v>300000</v>
      </c>
      <c r="I12" s="57">
        <v>1000000</v>
      </c>
      <c r="J12" s="57">
        <v>500000</v>
      </c>
      <c r="K12" s="57">
        <v>0.01</v>
      </c>
      <c r="L12" s="57">
        <v>600000</v>
      </c>
      <c r="M12" s="57">
        <v>300000</v>
      </c>
      <c r="N12" s="57">
        <v>600000</v>
      </c>
      <c r="O12" s="57">
        <v>300000</v>
      </c>
      <c r="P12" s="57">
        <v>300000</v>
      </c>
      <c r="Q12" s="57">
        <v>300000</v>
      </c>
      <c r="R12" s="57">
        <v>300000</v>
      </c>
      <c r="S12" s="57">
        <v>300000</v>
      </c>
      <c r="T12" s="57"/>
      <c r="U12" t="s">
        <v>20</v>
      </c>
    </row>
    <row r="13" spans="1:21">
      <c r="A13" s="18" t="s">
        <v>86</v>
      </c>
      <c r="B13" s="18" t="s">
        <v>96</v>
      </c>
      <c r="C13" s="18" t="s">
        <v>87</v>
      </c>
      <c r="D13" s="57">
        <v>300000</v>
      </c>
      <c r="E13" s="57">
        <v>400000</v>
      </c>
      <c r="F13" s="57">
        <v>800000</v>
      </c>
      <c r="G13" s="57">
        <v>200000</v>
      </c>
      <c r="H13" s="57">
        <v>400000</v>
      </c>
      <c r="I13" s="57">
        <v>2000000</v>
      </c>
      <c r="J13" s="57">
        <v>700000</v>
      </c>
      <c r="K13" s="57">
        <v>0.01</v>
      </c>
      <c r="L13" s="57">
        <v>700000</v>
      </c>
      <c r="M13" s="57">
        <v>300000</v>
      </c>
      <c r="N13" s="57">
        <v>300000</v>
      </c>
      <c r="O13" s="57">
        <v>300000</v>
      </c>
      <c r="P13" s="57">
        <v>400000</v>
      </c>
      <c r="Q13" s="57">
        <v>300000</v>
      </c>
      <c r="R13" s="57">
        <v>500000</v>
      </c>
      <c r="S13" s="57">
        <v>500000</v>
      </c>
      <c r="T13" s="57"/>
      <c r="U13" t="s">
        <v>20</v>
      </c>
    </row>
    <row r="14" spans="1:21">
      <c r="A14" s="18" t="s">
        <v>88</v>
      </c>
      <c r="B14" s="18" t="s">
        <v>97</v>
      </c>
      <c r="C14" s="15" t="s">
        <v>227</v>
      </c>
      <c r="D14" s="57">
        <v>200000</v>
      </c>
      <c r="E14" s="57">
        <v>200000</v>
      </c>
      <c r="F14" s="57">
        <v>300000</v>
      </c>
      <c r="G14" s="57">
        <v>200000</v>
      </c>
      <c r="H14" s="57">
        <v>200000</v>
      </c>
      <c r="I14" s="57">
        <v>700000</v>
      </c>
      <c r="J14" s="57">
        <v>550000</v>
      </c>
      <c r="K14" s="57">
        <v>0.01</v>
      </c>
      <c r="L14" s="57">
        <v>400000</v>
      </c>
      <c r="M14" s="57">
        <v>200000</v>
      </c>
      <c r="N14" s="57">
        <v>300000</v>
      </c>
      <c r="O14" s="57">
        <v>200000</v>
      </c>
      <c r="P14" s="57">
        <v>200000</v>
      </c>
      <c r="Q14" s="57">
        <v>200000</v>
      </c>
      <c r="R14" s="57">
        <v>200000</v>
      </c>
      <c r="S14" s="57">
        <v>200000</v>
      </c>
      <c r="T14" s="57"/>
      <c r="U14" t="s">
        <v>20</v>
      </c>
    </row>
    <row r="15" spans="1:21">
      <c r="A15" s="18" t="s">
        <v>89</v>
      </c>
      <c r="B15" s="18" t="s">
        <v>98</v>
      </c>
      <c r="C15" s="18" t="s">
        <v>90</v>
      </c>
      <c r="D15" s="57">
        <v>200000</v>
      </c>
      <c r="E15" s="57">
        <v>200000</v>
      </c>
      <c r="F15" s="57">
        <v>300000</v>
      </c>
      <c r="G15" s="57">
        <v>200000</v>
      </c>
      <c r="H15" s="57">
        <v>200000</v>
      </c>
      <c r="I15" s="57">
        <v>700000</v>
      </c>
      <c r="J15" s="57">
        <v>500000</v>
      </c>
      <c r="K15" s="57">
        <v>0.01</v>
      </c>
      <c r="L15" s="57">
        <v>500000</v>
      </c>
      <c r="M15" s="57">
        <v>200000</v>
      </c>
      <c r="N15" s="57">
        <v>300000</v>
      </c>
      <c r="O15" s="57">
        <v>300000</v>
      </c>
      <c r="P15" s="57">
        <v>200000</v>
      </c>
      <c r="Q15" s="57">
        <v>200000</v>
      </c>
      <c r="R15" s="57">
        <v>200000</v>
      </c>
      <c r="S15" s="57">
        <v>200000</v>
      </c>
      <c r="T15" s="57"/>
      <c r="U15" t="s">
        <v>20</v>
      </c>
    </row>
    <row r="16" spans="1:21">
      <c r="A16" s="36" t="s">
        <v>172</v>
      </c>
      <c r="B16" s="36" t="s">
        <v>173</v>
      </c>
      <c r="C16" t="s">
        <v>174</v>
      </c>
      <c r="D16" s="57">
        <v>200000</v>
      </c>
      <c r="E16" s="57">
        <v>250000</v>
      </c>
      <c r="F16" s="57">
        <v>200000</v>
      </c>
      <c r="G16" s="57">
        <v>200000</v>
      </c>
      <c r="H16" s="57">
        <v>200000</v>
      </c>
      <c r="I16" s="57">
        <v>200000</v>
      </c>
      <c r="J16" s="57">
        <v>200000</v>
      </c>
      <c r="K16" s="57">
        <v>0.01</v>
      </c>
      <c r="L16" s="57">
        <v>200000</v>
      </c>
      <c r="M16" s="57">
        <v>200000</v>
      </c>
      <c r="N16" s="57">
        <v>200000</v>
      </c>
      <c r="O16" s="57">
        <v>200000</v>
      </c>
      <c r="P16" s="57">
        <v>200000</v>
      </c>
      <c r="Q16" s="57">
        <v>200000</v>
      </c>
      <c r="R16" s="57">
        <v>200000</v>
      </c>
      <c r="S16" s="57">
        <v>200000</v>
      </c>
      <c r="T16" s="57"/>
      <c r="U16" t="s">
        <v>20</v>
      </c>
    </row>
    <row r="17" spans="1:21">
      <c r="A17" s="40" t="s">
        <v>177</v>
      </c>
      <c r="B17" s="36" t="s">
        <v>178</v>
      </c>
      <c r="C17" s="41" t="s">
        <v>179</v>
      </c>
      <c r="D17" s="57">
        <v>0.01</v>
      </c>
      <c r="E17" s="57">
        <v>0.01</v>
      </c>
      <c r="F17" s="57">
        <v>0.01</v>
      </c>
      <c r="G17" s="57">
        <v>0</v>
      </c>
      <c r="H17" s="57">
        <v>0.01</v>
      </c>
      <c r="I17" s="57">
        <v>0.01</v>
      </c>
      <c r="J17" s="57">
        <v>300000</v>
      </c>
      <c r="K17" s="57">
        <v>0.01</v>
      </c>
      <c r="L17" s="57">
        <v>0.01</v>
      </c>
      <c r="M17" s="57">
        <v>0.01</v>
      </c>
      <c r="N17" s="57">
        <v>200000</v>
      </c>
      <c r="O17" s="57">
        <v>0.01</v>
      </c>
      <c r="P17" s="57">
        <v>0.01</v>
      </c>
      <c r="Q17" s="57">
        <v>0.01</v>
      </c>
      <c r="R17" s="57">
        <v>0.01</v>
      </c>
      <c r="S17" s="57">
        <v>0.01</v>
      </c>
      <c r="T17" s="57"/>
      <c r="U17" t="s">
        <v>20</v>
      </c>
    </row>
    <row r="18" spans="1:21">
      <c r="A18" s="40" t="s">
        <v>194</v>
      </c>
      <c r="B18" s="48" t="s">
        <v>195</v>
      </c>
      <c r="C18" s="41" t="s">
        <v>196</v>
      </c>
      <c r="D18" s="57">
        <v>0.01</v>
      </c>
      <c r="E18" s="57">
        <v>0.01</v>
      </c>
      <c r="F18" s="57">
        <v>200000</v>
      </c>
      <c r="G18" s="57">
        <v>0</v>
      </c>
      <c r="H18" s="57">
        <v>0.01</v>
      </c>
      <c r="I18" s="57">
        <v>200000</v>
      </c>
      <c r="J18" s="57">
        <v>300000</v>
      </c>
      <c r="K18" s="57">
        <v>0.01</v>
      </c>
      <c r="L18" s="57">
        <v>300000</v>
      </c>
      <c r="M18" s="57">
        <v>200000</v>
      </c>
      <c r="N18" s="57">
        <v>0.01</v>
      </c>
      <c r="O18" s="57">
        <v>0.01</v>
      </c>
      <c r="P18" s="57">
        <v>0.01</v>
      </c>
      <c r="Q18" s="57">
        <v>0.01</v>
      </c>
      <c r="R18" s="57">
        <v>200000</v>
      </c>
      <c r="S18" s="57">
        <v>0.01</v>
      </c>
      <c r="T18" s="57"/>
      <c r="U18" t="s">
        <v>20</v>
      </c>
    </row>
    <row r="19" spans="1:21">
      <c r="A19" s="46" t="s">
        <v>191</v>
      </c>
      <c r="B19" s="36" t="s">
        <v>192</v>
      </c>
      <c r="C19" s="47" t="s">
        <v>193</v>
      </c>
      <c r="D19" s="57">
        <v>200000</v>
      </c>
      <c r="E19" s="57">
        <v>200000</v>
      </c>
      <c r="F19" s="57">
        <v>400000</v>
      </c>
      <c r="G19" s="57">
        <v>200000</v>
      </c>
      <c r="H19" s="57">
        <v>200000</v>
      </c>
      <c r="I19" s="57">
        <v>400000</v>
      </c>
      <c r="J19" s="57">
        <v>300000</v>
      </c>
      <c r="K19" s="57">
        <v>0.01</v>
      </c>
      <c r="L19" s="57">
        <v>300000</v>
      </c>
      <c r="M19" s="57">
        <v>200000</v>
      </c>
      <c r="N19" s="57">
        <v>200000</v>
      </c>
      <c r="O19" s="57">
        <v>200000</v>
      </c>
      <c r="P19" s="57">
        <v>200000</v>
      </c>
      <c r="Q19" s="57">
        <v>200000</v>
      </c>
      <c r="R19" s="57">
        <v>200000</v>
      </c>
      <c r="S19" s="57">
        <v>200000</v>
      </c>
      <c r="T19" s="57"/>
      <c r="U19" t="s">
        <v>20</v>
      </c>
    </row>
    <row r="20" spans="1:21">
      <c r="A20" s="30" t="s">
        <v>189</v>
      </c>
      <c r="B20" s="30" t="s">
        <v>188</v>
      </c>
      <c r="C20" s="30" t="s">
        <v>190</v>
      </c>
      <c r="D20" s="57">
        <v>200000</v>
      </c>
      <c r="E20" s="57">
        <v>400000</v>
      </c>
      <c r="F20" s="57">
        <v>200000</v>
      </c>
      <c r="G20" s="57">
        <v>200000</v>
      </c>
      <c r="H20" s="57">
        <v>200000</v>
      </c>
      <c r="I20" s="57">
        <v>200000</v>
      </c>
      <c r="J20" s="57">
        <v>200000</v>
      </c>
      <c r="K20" s="57">
        <v>0.01</v>
      </c>
      <c r="L20" s="57">
        <v>200000</v>
      </c>
      <c r="M20" s="57">
        <v>200000</v>
      </c>
      <c r="N20" s="57">
        <v>200000</v>
      </c>
      <c r="O20" s="57">
        <v>200000</v>
      </c>
      <c r="P20" s="57">
        <v>200000</v>
      </c>
      <c r="Q20" s="57">
        <v>200000</v>
      </c>
      <c r="R20" s="57">
        <v>200000</v>
      </c>
      <c r="S20" s="57">
        <v>200000</v>
      </c>
      <c r="T20" s="57"/>
      <c r="U20" t="s">
        <v>20</v>
      </c>
    </row>
    <row r="21" spans="1:21">
      <c r="A21" s="49" t="s">
        <v>240</v>
      </c>
      <c r="B21" s="50" t="s">
        <v>241</v>
      </c>
      <c r="C21" s="59" t="s">
        <v>242</v>
      </c>
      <c r="D21" s="57">
        <v>200000</v>
      </c>
      <c r="E21" s="57">
        <v>200000</v>
      </c>
      <c r="F21" s="57">
        <v>200000</v>
      </c>
      <c r="G21" s="57">
        <v>200000</v>
      </c>
      <c r="H21" s="57">
        <v>200000</v>
      </c>
      <c r="I21" s="57">
        <v>200000</v>
      </c>
      <c r="J21" s="57">
        <v>200000</v>
      </c>
      <c r="K21" s="57">
        <v>0.01</v>
      </c>
      <c r="L21" s="57">
        <v>200000</v>
      </c>
      <c r="M21" s="57">
        <v>200000</v>
      </c>
      <c r="N21" s="57">
        <v>200000</v>
      </c>
      <c r="O21" s="57">
        <v>200000</v>
      </c>
      <c r="P21" s="57">
        <v>200000</v>
      </c>
      <c r="Q21" s="57">
        <v>200000</v>
      </c>
      <c r="R21" s="57">
        <v>200000</v>
      </c>
      <c r="S21" s="57">
        <v>200000</v>
      </c>
      <c r="T21" s="57"/>
      <c r="U21" t="s">
        <v>20</v>
      </c>
    </row>
    <row r="22" spans="1:21">
      <c r="A22" s="49" t="s">
        <v>202</v>
      </c>
      <c r="B22" s="50" t="s">
        <v>203</v>
      </c>
      <c r="C22" s="51" t="s">
        <v>204</v>
      </c>
      <c r="D22" s="57">
        <v>0.01</v>
      </c>
      <c r="E22" s="57">
        <v>0.01</v>
      </c>
      <c r="F22" s="57">
        <v>0.01</v>
      </c>
      <c r="G22" s="57">
        <v>0</v>
      </c>
      <c r="H22" s="57">
        <v>0.01</v>
      </c>
      <c r="I22" s="57">
        <v>200000</v>
      </c>
      <c r="J22" s="57">
        <v>0.01</v>
      </c>
      <c r="K22" s="57">
        <v>0.01</v>
      </c>
      <c r="L22" s="57">
        <v>0.01</v>
      </c>
      <c r="M22" s="57">
        <v>0.01</v>
      </c>
      <c r="N22" s="57">
        <v>0.01</v>
      </c>
      <c r="O22" s="57">
        <v>0.01</v>
      </c>
      <c r="P22" s="57">
        <v>0.01</v>
      </c>
      <c r="Q22" s="57">
        <v>0.01</v>
      </c>
      <c r="R22" s="57">
        <v>0.01</v>
      </c>
      <c r="S22" s="57">
        <v>0.01</v>
      </c>
      <c r="T22" s="57"/>
      <c r="U22" s="44" t="s">
        <v>20</v>
      </c>
    </row>
    <row r="23" spans="1:21">
      <c r="A23" s="49" t="s">
        <v>230</v>
      </c>
      <c r="B23" s="50" t="s">
        <v>232</v>
      </c>
      <c r="C23" s="51" t="s">
        <v>234</v>
      </c>
      <c r="D23" s="57">
        <v>200000</v>
      </c>
      <c r="E23" s="57">
        <v>200000</v>
      </c>
      <c r="F23" s="57">
        <v>200000</v>
      </c>
      <c r="G23" s="57">
        <v>200000</v>
      </c>
      <c r="H23" s="57">
        <v>200000</v>
      </c>
      <c r="I23" s="57">
        <v>200000</v>
      </c>
      <c r="J23" s="57">
        <v>200000</v>
      </c>
      <c r="K23" s="57">
        <v>0.01</v>
      </c>
      <c r="L23" s="57">
        <v>200000</v>
      </c>
      <c r="M23" s="57">
        <v>200000</v>
      </c>
      <c r="N23" s="57">
        <v>200000</v>
      </c>
      <c r="O23" s="57">
        <v>200000</v>
      </c>
      <c r="P23" s="57">
        <v>200000</v>
      </c>
      <c r="Q23" s="57">
        <v>200000</v>
      </c>
      <c r="R23" s="57">
        <v>200000</v>
      </c>
      <c r="S23" s="57">
        <v>200000</v>
      </c>
      <c r="T23" s="57"/>
      <c r="U23" t="s">
        <v>20</v>
      </c>
    </row>
    <row r="24" spans="1:21">
      <c r="A24" s="49" t="s">
        <v>231</v>
      </c>
      <c r="B24" s="50" t="s">
        <v>233</v>
      </c>
      <c r="C24" s="51" t="s">
        <v>235</v>
      </c>
      <c r="D24" s="57">
        <v>200000</v>
      </c>
      <c r="E24" s="57">
        <v>200000</v>
      </c>
      <c r="F24" s="57">
        <v>200000</v>
      </c>
      <c r="G24" s="57">
        <v>200000</v>
      </c>
      <c r="H24" s="57">
        <v>200000</v>
      </c>
      <c r="I24" s="57">
        <v>200000</v>
      </c>
      <c r="J24" s="57">
        <v>200000</v>
      </c>
      <c r="K24" s="57">
        <v>0.01</v>
      </c>
      <c r="L24" s="57">
        <v>200000</v>
      </c>
      <c r="M24" s="57">
        <v>200000</v>
      </c>
      <c r="N24" s="57">
        <v>200000</v>
      </c>
      <c r="O24" s="57">
        <v>200000</v>
      </c>
      <c r="P24" s="57">
        <v>200000</v>
      </c>
      <c r="Q24" s="57">
        <v>200000</v>
      </c>
      <c r="R24" s="57">
        <v>200000</v>
      </c>
      <c r="S24" s="57">
        <v>200000</v>
      </c>
      <c r="T24" s="57"/>
      <c r="U24" t="s">
        <v>20</v>
      </c>
    </row>
    <row r="25" spans="1:21">
      <c r="A25" s="49" t="s">
        <v>243</v>
      </c>
      <c r="B25" s="50" t="s">
        <v>244</v>
      </c>
      <c r="C25" s="51" t="s">
        <v>248</v>
      </c>
      <c r="D25" s="57">
        <v>200000</v>
      </c>
      <c r="E25" s="57">
        <v>200000</v>
      </c>
      <c r="F25" s="57">
        <v>200000</v>
      </c>
      <c r="G25" s="57">
        <v>200000</v>
      </c>
      <c r="H25" s="57">
        <v>200000</v>
      </c>
      <c r="I25" s="57">
        <v>200000</v>
      </c>
      <c r="J25" s="57">
        <v>200000</v>
      </c>
      <c r="K25" s="57">
        <v>0.01</v>
      </c>
      <c r="L25" s="57">
        <v>200000</v>
      </c>
      <c r="M25" s="57">
        <v>200000</v>
      </c>
      <c r="N25" s="57">
        <v>200000</v>
      </c>
      <c r="O25" s="57">
        <v>200000</v>
      </c>
      <c r="P25" s="57">
        <v>200000</v>
      </c>
      <c r="Q25" s="57">
        <v>200000</v>
      </c>
      <c r="R25" s="57">
        <v>200000</v>
      </c>
      <c r="S25" s="57">
        <v>200000</v>
      </c>
      <c r="T25" s="57"/>
      <c r="U25" s="44" t="s">
        <v>20</v>
      </c>
    </row>
    <row r="26" spans="1:21">
      <c r="A26" s="49" t="s">
        <v>245</v>
      </c>
      <c r="B26" s="50" t="s">
        <v>246</v>
      </c>
      <c r="C26" s="51" t="s">
        <v>247</v>
      </c>
      <c r="D26" s="57">
        <v>200000</v>
      </c>
      <c r="E26" s="57">
        <v>200000</v>
      </c>
      <c r="F26" s="57">
        <v>200000</v>
      </c>
      <c r="G26" s="57">
        <v>200000</v>
      </c>
      <c r="H26" s="57">
        <v>200000</v>
      </c>
      <c r="I26" s="57">
        <v>200000</v>
      </c>
      <c r="J26" s="57">
        <v>200000</v>
      </c>
      <c r="K26" s="57">
        <v>0.01</v>
      </c>
      <c r="L26" s="57">
        <v>200000</v>
      </c>
      <c r="M26" s="57">
        <v>200000</v>
      </c>
      <c r="N26" s="57">
        <v>200000</v>
      </c>
      <c r="O26" s="57">
        <v>200000</v>
      </c>
      <c r="P26" s="57">
        <v>200000</v>
      </c>
      <c r="Q26" s="57">
        <v>200000</v>
      </c>
      <c r="R26" s="57">
        <v>200000</v>
      </c>
      <c r="S26" s="57">
        <v>200000</v>
      </c>
      <c r="T26" s="57"/>
      <c r="U26" s="44" t="s">
        <v>20</v>
      </c>
    </row>
    <row r="27" spans="1:21">
      <c r="A27" s="49" t="s">
        <v>237</v>
      </c>
      <c r="B27" s="50" t="s">
        <v>238</v>
      </c>
      <c r="C27" s="51" t="s">
        <v>239</v>
      </c>
      <c r="D27" s="57">
        <v>200000</v>
      </c>
      <c r="E27" s="57">
        <v>200000</v>
      </c>
      <c r="F27" s="57">
        <v>200000</v>
      </c>
      <c r="G27" s="57">
        <v>200000</v>
      </c>
      <c r="H27" s="57">
        <v>200000</v>
      </c>
      <c r="I27" s="57">
        <v>200000</v>
      </c>
      <c r="J27" s="57">
        <v>200000</v>
      </c>
      <c r="K27" s="57">
        <v>0.01</v>
      </c>
      <c r="L27" s="57">
        <v>200000</v>
      </c>
      <c r="M27" s="57">
        <v>200000</v>
      </c>
      <c r="N27" s="57">
        <v>200000</v>
      </c>
      <c r="O27" s="57">
        <v>200000</v>
      </c>
      <c r="P27" s="57">
        <v>200000</v>
      </c>
      <c r="Q27" s="57">
        <v>200000</v>
      </c>
      <c r="R27" s="57">
        <v>200000</v>
      </c>
      <c r="S27" s="57">
        <v>200000</v>
      </c>
      <c r="T27" s="57"/>
      <c r="U27" t="s">
        <v>20</v>
      </c>
    </row>
    <row r="28" spans="1:21">
      <c r="A28" s="49" t="s">
        <v>251</v>
      </c>
      <c r="B28" s="50" t="s">
        <v>249</v>
      </c>
      <c r="C28" s="51" t="s">
        <v>250</v>
      </c>
      <c r="D28" s="57">
        <v>200000</v>
      </c>
      <c r="E28" s="57">
        <v>200000</v>
      </c>
      <c r="F28" s="57">
        <v>300000</v>
      </c>
      <c r="G28" s="57">
        <v>200000</v>
      </c>
      <c r="H28" s="57">
        <v>200000</v>
      </c>
      <c r="I28" s="57">
        <v>700000</v>
      </c>
      <c r="J28" s="57">
        <v>550000</v>
      </c>
      <c r="K28" s="57">
        <v>0.01</v>
      </c>
      <c r="L28" s="57">
        <v>400000</v>
      </c>
      <c r="M28" s="57">
        <v>200000</v>
      </c>
      <c r="N28" s="57">
        <v>300000</v>
      </c>
      <c r="O28" s="57">
        <v>200000</v>
      </c>
      <c r="P28" s="57">
        <v>200000</v>
      </c>
      <c r="Q28" s="57">
        <v>200000</v>
      </c>
      <c r="R28" s="57">
        <v>200000</v>
      </c>
      <c r="S28" s="57">
        <v>200000</v>
      </c>
      <c r="T28" s="57"/>
      <c r="U28" t="s">
        <v>20</v>
      </c>
    </row>
    <row r="29" spans="1:21">
      <c r="A29" s="49" t="s">
        <v>255</v>
      </c>
      <c r="B29" s="50" t="s">
        <v>256</v>
      </c>
      <c r="C29" s="51" t="s">
        <v>257</v>
      </c>
      <c r="D29" s="57">
        <v>0</v>
      </c>
      <c r="E29" s="57">
        <v>0</v>
      </c>
      <c r="F29" s="57">
        <v>0</v>
      </c>
      <c r="G29" s="57">
        <v>0</v>
      </c>
      <c r="H29" s="57">
        <v>0</v>
      </c>
      <c r="I29" s="57">
        <v>700000</v>
      </c>
      <c r="J29" s="57">
        <v>550000</v>
      </c>
      <c r="K29" s="57">
        <v>0.01</v>
      </c>
      <c r="L29" s="57">
        <v>0</v>
      </c>
      <c r="M29" s="57">
        <v>0</v>
      </c>
      <c r="N29" s="57">
        <v>0</v>
      </c>
      <c r="O29" s="57">
        <v>0</v>
      </c>
      <c r="P29" s="57">
        <v>0</v>
      </c>
      <c r="Q29" s="57">
        <v>0</v>
      </c>
      <c r="R29" s="57">
        <v>0</v>
      </c>
      <c r="S29" s="57">
        <v>0</v>
      </c>
      <c r="T29" s="57"/>
      <c r="U29" s="44" t="s">
        <v>20</v>
      </c>
    </row>
    <row r="30" spans="1:21">
      <c r="A30" s="49" t="s">
        <v>258</v>
      </c>
      <c r="B30" s="50" t="s">
        <v>259</v>
      </c>
      <c r="C30" s="51" t="s">
        <v>260</v>
      </c>
      <c r="D30" s="57">
        <v>200000</v>
      </c>
      <c r="E30" s="57">
        <v>200000</v>
      </c>
      <c r="F30" s="57">
        <v>200000</v>
      </c>
      <c r="G30" s="57">
        <v>0</v>
      </c>
      <c r="H30" s="57">
        <v>200000</v>
      </c>
      <c r="I30" s="57">
        <v>400000</v>
      </c>
      <c r="J30" s="57">
        <v>400000</v>
      </c>
      <c r="K30" s="57">
        <v>200000</v>
      </c>
      <c r="L30" s="57">
        <v>200000</v>
      </c>
      <c r="M30" s="57">
        <v>0</v>
      </c>
      <c r="N30" s="57">
        <v>200000</v>
      </c>
      <c r="O30" s="57">
        <v>200000</v>
      </c>
      <c r="P30" s="57">
        <v>200000</v>
      </c>
      <c r="Q30" s="57">
        <v>200000</v>
      </c>
      <c r="R30" s="57">
        <v>200000</v>
      </c>
      <c r="S30" s="57">
        <v>200000</v>
      </c>
      <c r="T30" s="57">
        <v>400000</v>
      </c>
      <c r="U30" t="s">
        <v>19</v>
      </c>
    </row>
    <row r="31" spans="1:21">
      <c r="A31" s="49" t="s">
        <v>261</v>
      </c>
      <c r="B31" s="50" t="s">
        <v>263</v>
      </c>
      <c r="C31" s="51" t="s">
        <v>265</v>
      </c>
      <c r="D31" s="57">
        <v>200000</v>
      </c>
      <c r="E31" s="57">
        <v>200000</v>
      </c>
      <c r="F31" s="57">
        <v>200000</v>
      </c>
      <c r="G31" s="57">
        <v>0</v>
      </c>
      <c r="H31" s="57">
        <v>200000</v>
      </c>
      <c r="I31" s="57">
        <v>400000</v>
      </c>
      <c r="J31" s="57">
        <v>400000</v>
      </c>
      <c r="K31" s="57">
        <v>200000</v>
      </c>
      <c r="L31" s="57">
        <v>200000</v>
      </c>
      <c r="M31" s="57">
        <v>0</v>
      </c>
      <c r="N31" s="57">
        <v>200000</v>
      </c>
      <c r="O31" s="57">
        <v>200000</v>
      </c>
      <c r="P31" s="57">
        <v>200000</v>
      </c>
      <c r="Q31" s="57">
        <v>200000</v>
      </c>
      <c r="R31" s="57">
        <v>200000</v>
      </c>
      <c r="S31" s="57">
        <v>200000</v>
      </c>
      <c r="T31" s="57">
        <v>400000</v>
      </c>
      <c r="U31" t="s">
        <v>19</v>
      </c>
    </row>
    <row r="32" spans="1:21">
      <c r="A32" s="49" t="s">
        <v>262</v>
      </c>
      <c r="B32" s="50" t="s">
        <v>264</v>
      </c>
      <c r="C32" s="51" t="s">
        <v>266</v>
      </c>
      <c r="D32" s="57">
        <v>200000</v>
      </c>
      <c r="E32" s="57">
        <v>200000</v>
      </c>
      <c r="F32" s="57">
        <v>200000</v>
      </c>
      <c r="G32" s="57">
        <v>0</v>
      </c>
      <c r="H32" s="57">
        <v>200000</v>
      </c>
      <c r="I32" s="57">
        <v>400000</v>
      </c>
      <c r="J32" s="57">
        <v>400000</v>
      </c>
      <c r="K32" s="57">
        <v>200000</v>
      </c>
      <c r="L32" s="57">
        <v>200000</v>
      </c>
      <c r="M32" s="57">
        <v>0</v>
      </c>
      <c r="N32" s="57">
        <v>200000</v>
      </c>
      <c r="O32" s="57">
        <v>200000</v>
      </c>
      <c r="P32" s="57">
        <v>200000</v>
      </c>
      <c r="Q32" s="57">
        <v>200000</v>
      </c>
      <c r="R32" s="57">
        <v>200000</v>
      </c>
      <c r="S32" s="57">
        <v>200000</v>
      </c>
      <c r="T32" s="57">
        <v>400000</v>
      </c>
      <c r="U32" t="s">
        <v>19</v>
      </c>
    </row>
    <row r="33" spans="1:21">
      <c r="A33" s="49" t="s">
        <v>277</v>
      </c>
      <c r="B33" s="50" t="s">
        <v>276</v>
      </c>
      <c r="C33" s="51" t="s">
        <v>278</v>
      </c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t="s">
        <v>20</v>
      </c>
    </row>
    <row r="34" spans="1:21">
      <c r="A34" s="49" t="s">
        <v>273</v>
      </c>
      <c r="B34" s="50" t="s">
        <v>274</v>
      </c>
      <c r="C34" s="51" t="s">
        <v>275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t="s">
        <v>20</v>
      </c>
    </row>
    <row r="35" spans="1:21">
      <c r="A35" s="49" t="s">
        <v>205</v>
      </c>
      <c r="B35" s="50" t="s">
        <v>206</v>
      </c>
      <c r="C35" s="51" t="s">
        <v>207</v>
      </c>
      <c r="D35" s="57">
        <v>0</v>
      </c>
      <c r="E35" s="57">
        <v>0</v>
      </c>
      <c r="F35" s="57">
        <v>0</v>
      </c>
      <c r="G35" s="57">
        <v>0</v>
      </c>
      <c r="H35" s="57">
        <v>0.01</v>
      </c>
      <c r="I35" s="57">
        <v>200000</v>
      </c>
      <c r="J35" s="57">
        <v>0</v>
      </c>
      <c r="K35" s="57">
        <v>0</v>
      </c>
      <c r="L35" s="57">
        <v>0</v>
      </c>
      <c r="M35" s="57">
        <v>0</v>
      </c>
      <c r="N35" s="57">
        <v>0</v>
      </c>
      <c r="O35" s="57">
        <v>0</v>
      </c>
      <c r="P35" s="57">
        <v>0</v>
      </c>
      <c r="Q35" s="57">
        <v>0.01</v>
      </c>
      <c r="R35" s="57">
        <v>0</v>
      </c>
      <c r="S35" s="57">
        <v>0</v>
      </c>
      <c r="T35" s="57"/>
      <c r="U35" s="44" t="s">
        <v>20</v>
      </c>
    </row>
    <row r="36" spans="1:21">
      <c r="A36" s="18"/>
      <c r="B36" s="18"/>
      <c r="C36" s="18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</row>
    <row r="37" spans="1:21">
      <c r="A37" s="30"/>
      <c r="B37" s="30"/>
      <c r="C37" s="30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</row>
    <row r="38" spans="1:21">
      <c r="A38" s="18"/>
      <c r="B38" s="18"/>
      <c r="C38" s="18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</row>
    <row r="39" spans="1:21">
      <c r="A39" s="30"/>
      <c r="B39" s="30"/>
      <c r="C39" s="38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</row>
    <row r="40" spans="1:21">
      <c r="A40" s="30"/>
      <c r="B40" s="30"/>
      <c r="C40" s="38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</row>
    <row r="41" spans="1:21">
      <c r="A41" s="36"/>
      <c r="C41" s="23"/>
    </row>
    <row r="42" spans="1:21">
      <c r="A42" s="36"/>
      <c r="B42" s="36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</row>
    <row r="43" spans="1:21">
      <c r="B43" s="36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1:21">
      <c r="B44" s="36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1:21">
      <c r="A45" s="39"/>
      <c r="B45" s="3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1:21">
      <c r="A46" s="39"/>
      <c r="B46" s="36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1:21">
      <c r="A47" s="18"/>
      <c r="B47" s="18"/>
      <c r="C47" s="18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</row>
    <row r="48" spans="1:21">
      <c r="A48" s="40"/>
      <c r="B48" s="36"/>
      <c r="C48" s="41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</row>
    <row r="49" spans="1:37">
      <c r="A49" s="40"/>
      <c r="B49" s="48"/>
      <c r="C49" s="41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</row>
    <row r="50" spans="1:37">
      <c r="A50" s="52"/>
      <c r="B50" s="44"/>
      <c r="C50" s="41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</row>
    <row r="51" spans="1:37">
      <c r="A51" s="40"/>
      <c r="B51" s="36"/>
      <c r="C51" s="41"/>
      <c r="D51" s="27"/>
      <c r="E51" s="27"/>
      <c r="F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</row>
    <row r="52" spans="1:37">
      <c r="A52" s="40"/>
      <c r="C52" s="41"/>
      <c r="D52" s="27"/>
      <c r="E52" s="27"/>
      <c r="F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</row>
    <row r="53" spans="1:37">
      <c r="A53" s="46"/>
      <c r="B53" s="36"/>
      <c r="C53" s="47"/>
      <c r="D53" s="27"/>
      <c r="E53" s="27"/>
      <c r="F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</row>
    <row r="54" spans="1:37">
      <c r="A54" s="30"/>
      <c r="B54" s="30"/>
      <c r="C54" s="30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</row>
    <row r="55" spans="1:37">
      <c r="A55" s="30"/>
      <c r="B55" s="30"/>
      <c r="C55" s="30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>
      <c r="A56" s="49"/>
      <c r="B56" s="50"/>
      <c r="C56" s="51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44"/>
    </row>
    <row r="57" spans="1:37">
      <c r="A57" s="49"/>
      <c r="B57" s="50"/>
      <c r="C57" s="51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44"/>
    </row>
    <row r="58" spans="1:37">
      <c r="A58" s="49"/>
      <c r="B58" s="50"/>
      <c r="C58" s="51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44"/>
    </row>
    <row r="59" spans="1:37">
      <c r="A59" s="40"/>
      <c r="C59" s="41"/>
      <c r="D59" s="27"/>
      <c r="E59" s="27"/>
      <c r="F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</row>
    <row r="60" spans="1:37">
      <c r="A60" s="46"/>
      <c r="B60" s="36"/>
      <c r="C60" s="47"/>
      <c r="D60" s="27"/>
      <c r="E60" s="27"/>
      <c r="F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</row>
  </sheetData>
  <phoneticPr fontId="0" type="noConversion"/>
  <pageMargins left="0.75" right="0.75" top="1" bottom="1" header="0.5" footer="0.5"/>
  <pageSetup scale="12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B4"/>
  <sheetViews>
    <sheetView workbookViewId="0">
      <selection activeCell="A3" sqref="A3"/>
    </sheetView>
  </sheetViews>
  <sheetFormatPr defaultRowHeight="13.2"/>
  <cols>
    <col min="5" max="7" width="9.109375" style="10" customWidth="1"/>
    <col min="9" max="9" width="15.88671875" style="37" customWidth="1"/>
    <col min="13" max="13" width="9.109375" style="10" customWidth="1"/>
    <col min="18" max="18" width="11.5546875" style="37" bestFit="1" customWidth="1"/>
    <col min="53" max="54" width="9.109375" style="10" customWidth="1"/>
  </cols>
  <sheetData>
    <row r="1" spans="1:54">
      <c r="A1" t="s">
        <v>253</v>
      </c>
      <c r="B1" t="s">
        <v>282</v>
      </c>
      <c r="D1" t="s">
        <v>283</v>
      </c>
      <c r="E1" s="10" t="s">
        <v>288</v>
      </c>
      <c r="F1" s="10" t="s">
        <v>290</v>
      </c>
      <c r="G1" s="10" t="s">
        <v>287</v>
      </c>
      <c r="I1" s="37">
        <v>1370000000</v>
      </c>
      <c r="L1" t="s">
        <v>272</v>
      </c>
      <c r="M1" s="10" t="s">
        <v>288</v>
      </c>
      <c r="R1" s="37">
        <v>1294773.6499999999</v>
      </c>
      <c r="X1">
        <v>0</v>
      </c>
      <c r="Y1" t="s">
        <v>187</v>
      </c>
      <c r="Z1" t="s">
        <v>34</v>
      </c>
      <c r="AC1" t="s">
        <v>34</v>
      </c>
      <c r="AD1">
        <v>253</v>
      </c>
      <c r="AL1">
        <v>200</v>
      </c>
      <c r="AP1" t="s">
        <v>34</v>
      </c>
      <c r="AS1" t="s">
        <v>34</v>
      </c>
      <c r="AT1" t="s">
        <v>35</v>
      </c>
      <c r="AU1">
        <v>5</v>
      </c>
      <c r="AV1">
        <v>15</v>
      </c>
      <c r="AW1">
        <v>2018</v>
      </c>
      <c r="AX1">
        <v>4</v>
      </c>
      <c r="AY1">
        <v>4</v>
      </c>
      <c r="AZ1">
        <v>2018</v>
      </c>
      <c r="BA1" s="10" t="s">
        <v>290</v>
      </c>
      <c r="BB1" s="10" t="s">
        <v>287</v>
      </c>
    </row>
    <row r="2" spans="1:54">
      <c r="A2" t="s">
        <v>253</v>
      </c>
      <c r="B2" t="s">
        <v>282</v>
      </c>
      <c r="D2" t="s">
        <v>281</v>
      </c>
      <c r="E2" s="10" t="s">
        <v>32</v>
      </c>
      <c r="F2" s="10" t="s">
        <v>287</v>
      </c>
      <c r="G2" s="10" t="s">
        <v>287</v>
      </c>
      <c r="I2" s="37">
        <v>1370000000</v>
      </c>
      <c r="L2" t="s">
        <v>271</v>
      </c>
      <c r="M2" s="10" t="s">
        <v>32</v>
      </c>
      <c r="N2">
        <v>1058.0999999999999</v>
      </c>
      <c r="O2">
        <v>1058.0999999999999</v>
      </c>
      <c r="Q2" t="s">
        <v>33</v>
      </c>
      <c r="R2" s="37">
        <v>1294773.6499999999</v>
      </c>
      <c r="AC2" t="s">
        <v>34</v>
      </c>
      <c r="AD2">
        <v>254</v>
      </c>
      <c r="AL2">
        <v>200</v>
      </c>
      <c r="AP2" t="s">
        <v>34</v>
      </c>
      <c r="AS2" t="s">
        <v>34</v>
      </c>
      <c r="AT2" t="s">
        <v>35</v>
      </c>
      <c r="BA2" s="10" t="s">
        <v>287</v>
      </c>
      <c r="BB2" s="10" t="s">
        <v>287</v>
      </c>
    </row>
    <row r="3" spans="1:54">
      <c r="J3" s="2"/>
      <c r="K3" s="2"/>
    </row>
    <row r="4" spans="1:54">
      <c r="J4" s="2"/>
      <c r="K4" s="2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I24"/>
  <sheetViews>
    <sheetView workbookViewId="0">
      <selection activeCell="B32" sqref="B32"/>
    </sheetView>
  </sheetViews>
  <sheetFormatPr defaultColWidth="10.33203125" defaultRowHeight="13.8"/>
  <cols>
    <col min="1" max="1" width="10.33203125" style="32" customWidth="1"/>
    <col min="2" max="2" width="18.44140625" style="32" bestFit="1" customWidth="1"/>
    <col min="3" max="3" width="27.88671875" style="32" bestFit="1" customWidth="1"/>
    <col min="4" max="4" width="25.109375" style="32" bestFit="1" customWidth="1"/>
    <col min="5" max="7" width="10.33203125" style="32" customWidth="1"/>
    <col min="8" max="8" width="14.44140625" style="32" bestFit="1" customWidth="1"/>
    <col min="9" max="9" width="11.33203125" style="32" bestFit="1" customWidth="1"/>
    <col min="10" max="16384" width="10.33203125" style="32"/>
  </cols>
  <sheetData>
    <row r="1" spans="1:9">
      <c r="A1" s="31" t="s">
        <v>114</v>
      </c>
      <c r="B1" s="31" t="s">
        <v>115</v>
      </c>
      <c r="C1" s="31" t="s">
        <v>116</v>
      </c>
      <c r="D1" s="31" t="s">
        <v>117</v>
      </c>
      <c r="E1" s="31" t="s">
        <v>118</v>
      </c>
      <c r="G1" s="31" t="s">
        <v>119</v>
      </c>
      <c r="H1" s="33">
        <v>5000000</v>
      </c>
      <c r="I1" s="34">
        <f ca="1">TODAY()</f>
        <v>43235</v>
      </c>
    </row>
    <row r="2" spans="1:9">
      <c r="A2" s="32" t="s">
        <v>120</v>
      </c>
      <c r="B2" s="32" t="s">
        <v>100</v>
      </c>
      <c r="C2" s="35" t="s">
        <v>121</v>
      </c>
      <c r="D2" s="33">
        <f>ROUND(+H$1/E2,-3)</f>
        <v>6757000</v>
      </c>
      <c r="E2" s="32">
        <v>0.74</v>
      </c>
    </row>
    <row r="3" spans="1:9">
      <c r="A3" s="32" t="s">
        <v>122</v>
      </c>
      <c r="B3" s="32" t="s">
        <v>101</v>
      </c>
      <c r="C3" s="35" t="s">
        <v>123</v>
      </c>
      <c r="D3" s="33">
        <f>+H$1*E3</f>
        <v>5010000</v>
      </c>
      <c r="E3" s="32">
        <v>1.002</v>
      </c>
    </row>
    <row r="4" spans="1:9">
      <c r="A4" s="32" t="s">
        <v>124</v>
      </c>
      <c r="B4" s="32" t="s">
        <v>19</v>
      </c>
      <c r="C4" s="35" t="s">
        <v>125</v>
      </c>
      <c r="D4" s="33">
        <f>+H$1*E4</f>
        <v>5024999.9999999991</v>
      </c>
      <c r="E4" s="32">
        <v>1.0049999999999999</v>
      </c>
    </row>
    <row r="5" spans="1:9">
      <c r="A5" s="32" t="s">
        <v>126</v>
      </c>
      <c r="B5" s="32" t="s">
        <v>102</v>
      </c>
      <c r="C5" s="35" t="s">
        <v>127</v>
      </c>
      <c r="D5" s="33">
        <f>+H$1*E5</f>
        <v>79700000</v>
      </c>
      <c r="E5" s="32">
        <v>15.94</v>
      </c>
    </row>
    <row r="6" spans="1:9">
      <c r="A6" s="32" t="s">
        <v>280</v>
      </c>
      <c r="B6" s="32" t="s">
        <v>270</v>
      </c>
      <c r="C6" s="35" t="s">
        <v>279</v>
      </c>
      <c r="D6" s="33">
        <v>2000000</v>
      </c>
      <c r="E6" s="32">
        <v>6.6619999999999999</v>
      </c>
    </row>
    <row r="7" spans="1:9">
      <c r="A7" s="32" t="s">
        <v>128</v>
      </c>
      <c r="B7" s="32" t="s">
        <v>103</v>
      </c>
      <c r="C7" s="35" t="s">
        <v>129</v>
      </c>
      <c r="D7" s="33">
        <f>+H$1*E7</f>
        <v>23800000</v>
      </c>
      <c r="E7" s="32">
        <v>4.76</v>
      </c>
    </row>
    <row r="8" spans="1:9">
      <c r="A8" s="32" t="s">
        <v>130</v>
      </c>
      <c r="B8" s="32" t="s">
        <v>18</v>
      </c>
      <c r="C8" s="35" t="s">
        <v>131</v>
      </c>
      <c r="D8" s="33">
        <f>+H$1/E8</f>
        <v>3192848.0204342273</v>
      </c>
      <c r="E8" s="32">
        <v>1.5660000000000001</v>
      </c>
    </row>
    <row r="9" spans="1:9">
      <c r="A9" s="32" t="s">
        <v>132</v>
      </c>
      <c r="B9" s="32" t="s">
        <v>21</v>
      </c>
      <c r="C9" s="35" t="s">
        <v>133</v>
      </c>
      <c r="D9" s="33">
        <f>ROUND(+H$1/E9,-3)</f>
        <v>2505000</v>
      </c>
      <c r="E9" s="32">
        <v>1.996</v>
      </c>
    </row>
    <row r="10" spans="1:9">
      <c r="A10" s="32" t="s">
        <v>134</v>
      </c>
      <c r="B10" s="32" t="s">
        <v>104</v>
      </c>
      <c r="C10" s="35" t="s">
        <v>135</v>
      </c>
      <c r="D10" s="33">
        <f>+H$1*E10</f>
        <v>38950000</v>
      </c>
      <c r="E10" s="32">
        <v>7.79</v>
      </c>
    </row>
    <row r="11" spans="1:9">
      <c r="A11" s="32" t="s">
        <v>136</v>
      </c>
      <c r="B11" s="32" t="s">
        <v>137</v>
      </c>
      <c r="C11" s="35" t="s">
        <v>138</v>
      </c>
      <c r="D11" s="33">
        <f>+H$1*E11</f>
        <v>822000000</v>
      </c>
      <c r="E11" s="32">
        <v>164.4</v>
      </c>
    </row>
    <row r="12" spans="1:9">
      <c r="A12" s="42" t="s">
        <v>181</v>
      </c>
      <c r="B12" s="42" t="s">
        <v>180</v>
      </c>
      <c r="C12" s="42" t="s">
        <v>182</v>
      </c>
      <c r="D12" s="43">
        <v>200000</v>
      </c>
      <c r="E12" s="32">
        <v>3.5950000000000002</v>
      </c>
    </row>
    <row r="13" spans="1:9">
      <c r="A13" s="32" t="s">
        <v>139</v>
      </c>
      <c r="B13" s="32" t="s">
        <v>23</v>
      </c>
      <c r="C13" s="35" t="s">
        <v>140</v>
      </c>
      <c r="D13" s="33">
        <f>+H$1*E13</f>
        <v>511000000</v>
      </c>
      <c r="E13" s="32">
        <v>102.2</v>
      </c>
    </row>
    <row r="14" spans="1:9">
      <c r="A14" s="32" t="s">
        <v>141</v>
      </c>
      <c r="B14" s="32" t="s">
        <v>105</v>
      </c>
      <c r="C14" s="32" t="s">
        <v>142</v>
      </c>
      <c r="D14" s="33">
        <f>+H$1*E14</f>
        <v>4875000000</v>
      </c>
      <c r="E14" s="32">
        <v>975</v>
      </c>
    </row>
    <row r="15" spans="1:9">
      <c r="A15" s="32" t="s">
        <v>143</v>
      </c>
      <c r="B15" s="32" t="s">
        <v>18</v>
      </c>
      <c r="C15" s="35" t="s">
        <v>131</v>
      </c>
      <c r="D15" s="33">
        <f>ROUND(+H$1/E15,-3)</f>
        <v>3193000</v>
      </c>
      <c r="E15" s="32">
        <v>1.5660000000000001</v>
      </c>
    </row>
    <row r="16" spans="1:9">
      <c r="A16" s="32" t="s">
        <v>144</v>
      </c>
      <c r="B16" s="32" t="s">
        <v>106</v>
      </c>
      <c r="C16" s="35" t="s">
        <v>145</v>
      </c>
      <c r="D16" s="33">
        <f>+H$1*E16</f>
        <v>52830000</v>
      </c>
      <c r="E16" s="32">
        <v>10.566000000000001</v>
      </c>
    </row>
    <row r="17" spans="1:5">
      <c r="A17" s="32" t="s">
        <v>146</v>
      </c>
      <c r="B17" s="32" t="s">
        <v>147</v>
      </c>
      <c r="C17" s="35" t="s">
        <v>148</v>
      </c>
      <c r="D17" s="33">
        <f>+H$1*E17</f>
        <v>19000000</v>
      </c>
      <c r="E17" s="32">
        <v>3.8</v>
      </c>
    </row>
    <row r="18" spans="1:5">
      <c r="A18" s="32" t="s">
        <v>149</v>
      </c>
      <c r="B18" s="32" t="s">
        <v>107</v>
      </c>
      <c r="C18" s="35" t="s">
        <v>150</v>
      </c>
      <c r="D18" s="33">
        <f>+H$1*E18</f>
        <v>25550000</v>
      </c>
      <c r="E18" s="32">
        <v>5.1100000000000003</v>
      </c>
    </row>
    <row r="19" spans="1:5">
      <c r="A19" s="32" t="s">
        <v>151</v>
      </c>
      <c r="B19" s="32" t="s">
        <v>108</v>
      </c>
      <c r="C19" s="35" t="s">
        <v>152</v>
      </c>
      <c r="D19" s="33">
        <f>ROUND(+H$1/E19,-3)</f>
        <v>6361000</v>
      </c>
      <c r="E19" s="32">
        <v>0.78600000000000003</v>
      </c>
    </row>
    <row r="20" spans="1:5">
      <c r="A20" s="32" t="s">
        <v>153</v>
      </c>
      <c r="B20" s="32" t="s">
        <v>154</v>
      </c>
      <c r="C20" s="35" t="s">
        <v>155</v>
      </c>
      <c r="D20" s="33">
        <f>+H$1*E20</f>
        <v>30000000</v>
      </c>
      <c r="E20" s="32">
        <v>6</v>
      </c>
    </row>
    <row r="21" spans="1:5">
      <c r="A21" s="32" t="s">
        <v>156</v>
      </c>
      <c r="B21" s="32" t="s">
        <v>110</v>
      </c>
      <c r="C21" s="35" t="s">
        <v>157</v>
      </c>
      <c r="D21" s="33">
        <f>+H$1*E21</f>
        <v>6925000</v>
      </c>
      <c r="E21" s="32">
        <v>1.385</v>
      </c>
    </row>
    <row r="22" spans="1:5">
      <c r="A22" s="32" t="s">
        <v>158</v>
      </c>
      <c r="B22" s="32" t="s">
        <v>109</v>
      </c>
      <c r="C22" s="35" t="s">
        <v>159</v>
      </c>
      <c r="D22" s="33">
        <f>+H$1*E22</f>
        <v>29900000.000000004</v>
      </c>
      <c r="E22" s="32">
        <v>5.98</v>
      </c>
    </row>
    <row r="23" spans="1:5">
      <c r="A23" s="32" t="s">
        <v>160</v>
      </c>
      <c r="B23" s="32" t="s">
        <v>161</v>
      </c>
      <c r="C23" s="35" t="s">
        <v>162</v>
      </c>
      <c r="D23" s="33">
        <f>+H$1*E23</f>
        <v>168750000</v>
      </c>
      <c r="E23" s="32">
        <v>33.75</v>
      </c>
    </row>
    <row r="24" spans="1:5">
      <c r="A24" s="32" t="s">
        <v>163</v>
      </c>
      <c r="B24" s="32" t="s">
        <v>20</v>
      </c>
      <c r="C24" s="35" t="s">
        <v>164</v>
      </c>
    </row>
  </sheetData>
  <phoneticPr fontId="9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2:M14"/>
  <sheetViews>
    <sheetView workbookViewId="0">
      <selection activeCell="A13" sqref="A13"/>
    </sheetView>
  </sheetViews>
  <sheetFormatPr defaultRowHeight="13.2"/>
  <cols>
    <col min="1" max="1" width="11.109375" customWidth="1"/>
    <col min="2" max="2" width="29.44140625" customWidth="1"/>
    <col min="3" max="3" width="11.109375" bestFit="1" customWidth="1"/>
    <col min="12" max="12" width="28.44140625" customWidth="1"/>
    <col min="13" max="13" width="38.33203125" customWidth="1"/>
  </cols>
  <sheetData>
    <row r="2" spans="1:13">
      <c r="A2" t="s">
        <v>15</v>
      </c>
    </row>
    <row r="3" spans="1:13">
      <c r="A3" t="s">
        <v>14</v>
      </c>
      <c r="B3" t="s">
        <v>16</v>
      </c>
      <c r="C3" t="str">
        <f>A3</f>
        <v>SSB</v>
      </c>
      <c r="D3" t="s">
        <v>210</v>
      </c>
      <c r="E3">
        <v>10</v>
      </c>
      <c r="F3" t="str">
        <f>(INDEX(A3:A16,E3))</f>
        <v>BNYM</v>
      </c>
      <c r="L3" t="s">
        <v>215</v>
      </c>
      <c r="M3" s="44" t="s">
        <v>219</v>
      </c>
    </row>
    <row r="4" spans="1:13">
      <c r="A4" t="s">
        <v>187</v>
      </c>
      <c r="B4" s="44" t="s">
        <v>186</v>
      </c>
      <c r="C4" t="str">
        <f t="shared" ref="C4:C14" si="0">A4</f>
        <v>BNYM</v>
      </c>
      <c r="D4" t="s">
        <v>211</v>
      </c>
      <c r="F4" t="str">
        <f>INDEX(B3:B16,E3)</f>
        <v>Bank of New York Mellon</v>
      </c>
      <c r="L4" t="s">
        <v>216</v>
      </c>
      <c r="M4" t="s">
        <v>220</v>
      </c>
    </row>
    <row r="5" spans="1:13">
      <c r="A5" t="s">
        <v>165</v>
      </c>
      <c r="B5" t="s">
        <v>30</v>
      </c>
      <c r="C5" t="str">
        <f t="shared" si="0"/>
        <v>NT</v>
      </c>
      <c r="D5" t="s">
        <v>212</v>
      </c>
      <c r="L5" t="s">
        <v>217</v>
      </c>
      <c r="M5" t="s">
        <v>222</v>
      </c>
    </row>
    <row r="6" spans="1:13">
      <c r="A6" s="44" t="s">
        <v>208</v>
      </c>
      <c r="B6" s="44" t="s">
        <v>209</v>
      </c>
      <c r="C6" t="str">
        <f t="shared" si="0"/>
        <v>BOAML</v>
      </c>
      <c r="D6" t="s">
        <v>200</v>
      </c>
    </row>
    <row r="7" spans="1:13">
      <c r="A7" t="s">
        <v>166</v>
      </c>
      <c r="B7" t="s">
        <v>31</v>
      </c>
      <c r="C7" t="str">
        <f t="shared" si="0"/>
        <v>CHASE</v>
      </c>
      <c r="D7" t="s">
        <v>214</v>
      </c>
      <c r="F7" t="s">
        <v>112</v>
      </c>
    </row>
    <row r="8" spans="1:13">
      <c r="A8" t="s">
        <v>167</v>
      </c>
      <c r="B8" t="s">
        <v>27</v>
      </c>
      <c r="C8" t="str">
        <f t="shared" si="0"/>
        <v>CITI</v>
      </c>
      <c r="D8" t="s">
        <v>213</v>
      </c>
      <c r="F8" t="s">
        <v>113</v>
      </c>
    </row>
    <row r="9" spans="1:13">
      <c r="A9" t="s">
        <v>197</v>
      </c>
      <c r="B9" t="s">
        <v>198</v>
      </c>
      <c r="C9" t="str">
        <f t="shared" si="0"/>
        <v>CITI HK</v>
      </c>
      <c r="D9" t="s">
        <v>213</v>
      </c>
    </row>
    <row r="10" spans="1:13">
      <c r="A10" t="s">
        <v>224</v>
      </c>
      <c r="B10" t="s">
        <v>225</v>
      </c>
      <c r="C10" t="s">
        <v>224</v>
      </c>
      <c r="D10" t="s">
        <v>226</v>
      </c>
    </row>
    <row r="11" spans="1:13">
      <c r="A11" t="s">
        <v>199</v>
      </c>
      <c r="B11" s="44" t="s">
        <v>218</v>
      </c>
      <c r="C11" t="str">
        <f t="shared" si="0"/>
        <v>TEST</v>
      </c>
      <c r="D11" t="s">
        <v>200</v>
      </c>
    </row>
    <row r="12" spans="1:13">
      <c r="A12" t="s">
        <v>187</v>
      </c>
      <c r="B12" s="44" t="s">
        <v>186</v>
      </c>
      <c r="C12" t="str">
        <f t="shared" si="0"/>
        <v>BNYM</v>
      </c>
      <c r="D12" t="s">
        <v>211</v>
      </c>
    </row>
    <row r="13" spans="1:13">
      <c r="A13" s="44" t="s">
        <v>267</v>
      </c>
      <c r="B13" s="44" t="s">
        <v>269</v>
      </c>
      <c r="C13" s="44" t="s">
        <v>267</v>
      </c>
      <c r="D13" s="44" t="s">
        <v>268</v>
      </c>
    </row>
    <row r="14" spans="1:13">
      <c r="A14" s="44" t="s">
        <v>223</v>
      </c>
      <c r="B14" s="44" t="s">
        <v>228</v>
      </c>
      <c r="C14" t="str">
        <f t="shared" si="0"/>
        <v>PICTET</v>
      </c>
      <c r="D14" t="s">
        <v>229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2"/>
  <dimension ref="A1:I39"/>
  <sheetViews>
    <sheetView workbookViewId="0">
      <selection activeCell="D4" sqref="D4"/>
    </sheetView>
  </sheetViews>
  <sheetFormatPr defaultRowHeight="13.2"/>
  <cols>
    <col min="1" max="1" width="23.44140625" customWidth="1"/>
    <col min="2" max="2" width="23" customWidth="1"/>
    <col min="3" max="3" width="34.5546875" customWidth="1"/>
    <col min="4" max="4" width="24.88671875" customWidth="1"/>
    <col min="5" max="5" width="13.5546875" customWidth="1"/>
  </cols>
  <sheetData>
    <row r="1" spans="1:9">
      <c r="A1" s="11" t="s">
        <v>38</v>
      </c>
      <c r="B1" s="11" t="s">
        <v>39</v>
      </c>
      <c r="C1" s="11" t="s">
        <v>40</v>
      </c>
      <c r="D1" s="11" t="s">
        <v>91</v>
      </c>
    </row>
    <row r="2" spans="1:9">
      <c r="A2" s="12"/>
      <c r="B2" s="13" t="s">
        <v>41</v>
      </c>
      <c r="C2" s="13"/>
      <c r="D2" s="24" t="s">
        <v>289</v>
      </c>
      <c r="E2" s="13"/>
      <c r="F2">
        <f ca="1">ROUND(RAND()*100000,0)</f>
        <v>23954</v>
      </c>
      <c r="I2" s="24" t="s">
        <v>171</v>
      </c>
    </row>
    <row r="3" spans="1:9">
      <c r="A3" s="11" t="s">
        <v>42</v>
      </c>
      <c r="B3" s="11" t="s">
        <v>43</v>
      </c>
      <c r="C3" s="11" t="s">
        <v>43</v>
      </c>
      <c r="I3" s="24" t="s">
        <v>170</v>
      </c>
    </row>
    <row r="4" spans="1:9">
      <c r="A4" s="12" t="s">
        <v>44</v>
      </c>
      <c r="B4" s="13" t="s">
        <v>45</v>
      </c>
      <c r="C4" s="13"/>
      <c r="E4" s="13"/>
    </row>
    <row r="5" spans="1:9">
      <c r="A5" s="11" t="s">
        <v>46</v>
      </c>
    </row>
    <row r="6" spans="1:9">
      <c r="A6" s="25" t="s">
        <v>99</v>
      </c>
      <c r="C6" t="s">
        <v>20</v>
      </c>
      <c r="E6" s="14" t="s">
        <v>47</v>
      </c>
    </row>
    <row r="7" spans="1:9">
      <c r="A7" s="15"/>
    </row>
    <row r="8" spans="1:9">
      <c r="A8" s="11" t="s">
        <v>48</v>
      </c>
      <c r="B8" s="16" t="s">
        <v>49</v>
      </c>
      <c r="C8" s="16" t="s">
        <v>50</v>
      </c>
    </row>
    <row r="9" spans="1:9">
      <c r="A9" s="12" t="s">
        <v>51</v>
      </c>
      <c r="B9" s="12" t="s">
        <v>52</v>
      </c>
      <c r="C9" s="12" t="s">
        <v>53</v>
      </c>
      <c r="E9" s="12" t="s">
        <v>54</v>
      </c>
      <c r="H9" s="12" t="s">
        <v>55</v>
      </c>
    </row>
    <row r="10" spans="1:9">
      <c r="A10" s="12"/>
      <c r="B10" s="12"/>
      <c r="C10" s="12"/>
      <c r="E10" t="s">
        <v>56</v>
      </c>
    </row>
    <row r="11" spans="1:9">
      <c r="A11" s="11" t="s">
        <v>57</v>
      </c>
      <c r="B11" s="11" t="s">
        <v>58</v>
      </c>
      <c r="C11" s="17" t="s">
        <v>59</v>
      </c>
    </row>
    <row r="12" spans="1:9">
      <c r="A12" s="18" t="s">
        <v>14</v>
      </c>
      <c r="B12" s="18" t="s">
        <v>60</v>
      </c>
      <c r="C12" s="19" t="s">
        <v>61</v>
      </c>
      <c r="E12" s="18" t="s">
        <v>62</v>
      </c>
    </row>
    <row r="13" spans="1:9">
      <c r="A13" s="18" t="s">
        <v>28</v>
      </c>
      <c r="B13" s="18" t="s">
        <v>63</v>
      </c>
      <c r="E13" s="18" t="s">
        <v>60</v>
      </c>
    </row>
    <row r="14" spans="1:9">
      <c r="A14" s="18" t="s">
        <v>17</v>
      </c>
      <c r="B14" s="18" t="s">
        <v>64</v>
      </c>
      <c r="C14" t="s">
        <v>65</v>
      </c>
      <c r="E14" s="18"/>
    </row>
    <row r="15" spans="1:9">
      <c r="A15" t="s">
        <v>26</v>
      </c>
      <c r="B15" s="18" t="s">
        <v>62</v>
      </c>
      <c r="E15" s="20"/>
    </row>
    <row r="16" spans="1:9">
      <c r="A16" t="s">
        <v>27</v>
      </c>
      <c r="B16" s="18" t="s">
        <v>62</v>
      </c>
      <c r="E16" s="20"/>
    </row>
    <row r="17" spans="1:6">
      <c r="A17" t="s">
        <v>29</v>
      </c>
      <c r="B17" s="18" t="s">
        <v>62</v>
      </c>
      <c r="E17" s="20"/>
    </row>
    <row r="18" spans="1:6">
      <c r="A18" s="18" t="s">
        <v>25</v>
      </c>
      <c r="B18" s="18" t="s">
        <v>66</v>
      </c>
    </row>
    <row r="19" spans="1:6">
      <c r="A19" s="18" t="s">
        <v>200</v>
      </c>
      <c r="B19" s="18" t="s">
        <v>201</v>
      </c>
    </row>
    <row r="20" spans="1:6" ht="17.25" customHeight="1">
      <c r="A20" s="18"/>
      <c r="B20" s="18"/>
      <c r="F20" s="14" t="s">
        <v>47</v>
      </c>
    </row>
    <row r="21" spans="1:6">
      <c r="A21" s="18"/>
      <c r="B21" s="18"/>
    </row>
    <row r="22" spans="1:6">
      <c r="A22" s="18"/>
      <c r="B22" s="18"/>
    </row>
    <row r="23" spans="1:6">
      <c r="A23" s="18"/>
      <c r="B23" s="18"/>
      <c r="E23" s="12" t="s">
        <v>55</v>
      </c>
    </row>
    <row r="24" spans="1:6">
      <c r="A24" s="18"/>
      <c r="B24" s="18"/>
    </row>
    <row r="25" spans="1:6">
      <c r="A25" s="20"/>
      <c r="B25" s="20"/>
    </row>
    <row r="26" spans="1:6">
      <c r="A26" s="11" t="s">
        <v>67</v>
      </c>
      <c r="B26" s="11" t="s">
        <v>68</v>
      </c>
    </row>
    <row r="27" spans="1:6">
      <c r="A27" s="18" t="s">
        <v>69</v>
      </c>
      <c r="B27" s="21"/>
      <c r="E27" s="18" t="s">
        <v>60</v>
      </c>
    </row>
    <row r="28" spans="1:6">
      <c r="A28" s="18" t="s">
        <v>70</v>
      </c>
      <c r="B28" s="21"/>
      <c r="E28" s="18" t="s">
        <v>71</v>
      </c>
    </row>
    <row r="29" spans="1:6">
      <c r="A29" s="18" t="s">
        <v>72</v>
      </c>
      <c r="B29" s="21"/>
      <c r="E29" s="18" t="s">
        <v>64</v>
      </c>
    </row>
    <row r="30" spans="1:6">
      <c r="A30" s="18" t="s">
        <v>73</v>
      </c>
      <c r="B30" s="21"/>
      <c r="E30" s="18" t="s">
        <v>66</v>
      </c>
    </row>
    <row r="31" spans="1:6">
      <c r="A31" s="18"/>
      <c r="B31" s="18"/>
    </row>
    <row r="32" spans="1:6">
      <c r="A32" s="18"/>
      <c r="B32" s="18"/>
    </row>
    <row r="33" spans="1:2">
      <c r="A33" s="18"/>
      <c r="B33" s="18"/>
    </row>
    <row r="34" spans="1:2">
      <c r="A34" s="18"/>
      <c r="B34" s="18"/>
    </row>
    <row r="35" spans="1:2">
      <c r="A35" s="18"/>
      <c r="B35" s="18"/>
    </row>
    <row r="36" spans="1:2">
      <c r="A36" s="18"/>
    </row>
    <row r="37" spans="1:2">
      <c r="A37" s="18"/>
    </row>
    <row r="38" spans="1:2">
      <c r="A38" s="18"/>
    </row>
    <row r="39" spans="1:2">
      <c r="A39" s="18"/>
    </row>
  </sheetData>
  <phoneticPr fontId="0" type="noConversion"/>
  <hyperlinks>
    <hyperlink ref="C12" r:id="rId1"/>
  </hyperlinks>
  <pageMargins left="0.75" right="0.75" top="1" bottom="1" header="0.5" footer="0.5"/>
  <pageSetup orientation="portrait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D11" sqref="D11"/>
    </sheetView>
  </sheetViews>
  <sheetFormatPr defaultRowHeight="13.2"/>
  <sheetData/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55</vt:i4>
      </vt:variant>
    </vt:vector>
  </HeadingPairs>
  <TitlesOfParts>
    <vt:vector size="63" baseType="lpstr">
      <vt:lpstr>Fwd</vt:lpstr>
      <vt:lpstr>Comp</vt:lpstr>
      <vt:lpstr>accounts</vt:lpstr>
      <vt:lpstr>file export page</vt:lpstr>
      <vt:lpstr>curr list</vt:lpstr>
      <vt:lpstr>config</vt:lpstr>
      <vt:lpstr>Setup</vt:lpstr>
      <vt:lpstr>Sheet1</vt:lpstr>
      <vt:lpstr>acctlist</vt:lpstr>
      <vt:lpstr>ArchiveFromFXC</vt:lpstr>
      <vt:lpstr>AUDRATE</vt:lpstr>
      <vt:lpstr>AXYSFile</vt:lpstr>
      <vt:lpstr>bankList</vt:lpstr>
      <vt:lpstr>BankLongToShort</vt:lpstr>
      <vt:lpstr>Banks</vt:lpstr>
      <vt:lpstr>BrokerExportList</vt:lpstr>
      <vt:lpstr>BrokerShortName</vt:lpstr>
      <vt:lpstr>'curr list'!BrokerShortName2</vt:lpstr>
      <vt:lpstr>BuyBIC</vt:lpstr>
      <vt:lpstr>BuyInst</vt:lpstr>
      <vt:lpstr>BuyPwd</vt:lpstr>
      <vt:lpstr>buysell</vt:lpstr>
      <vt:lpstr>CADRATE</vt:lpstr>
      <vt:lpstr>CHFRATE</vt:lpstr>
      <vt:lpstr>'curr list'!currlist</vt:lpstr>
      <vt:lpstr>CZKRATE</vt:lpstr>
      <vt:lpstr>digitcurrlist</vt:lpstr>
      <vt:lpstr>DKKRATE</vt:lpstr>
      <vt:lpstr>EURRATE</vt:lpstr>
      <vt:lpstr>ExportBuyFile</vt:lpstr>
      <vt:lpstr>FromFXC</vt:lpstr>
      <vt:lpstr>fxnamelist</vt:lpstr>
      <vt:lpstr>GBPRATE</vt:lpstr>
      <vt:lpstr>HKDRATE</vt:lpstr>
      <vt:lpstr>ImportFileLoc</vt:lpstr>
      <vt:lpstr>Setup!ImportFileName</vt:lpstr>
      <vt:lpstr>JarFile</vt:lpstr>
      <vt:lpstr>JPYRATE</vt:lpstr>
      <vt:lpstr>KRWRATE</vt:lpstr>
      <vt:lpstr>LTS</vt:lpstr>
      <vt:lpstr>MainFileLoc</vt:lpstr>
      <vt:lpstr>MainFileName</vt:lpstr>
      <vt:lpstr>MXNRATE</vt:lpstr>
      <vt:lpstr>NOKRATE</vt:lpstr>
      <vt:lpstr>NZDRATE</vt:lpstr>
      <vt:lpstr>accounts!Print_Area</vt:lpstr>
      <vt:lpstr>Comp!Print_Area</vt:lpstr>
      <vt:lpstr>Comp!Print_Titles</vt:lpstr>
      <vt:lpstr>Fwd!Print_Titles</vt:lpstr>
      <vt:lpstr>refnum</vt:lpstr>
      <vt:lpstr>SEKRATE</vt:lpstr>
      <vt:lpstr>selectedbank</vt:lpstr>
      <vt:lpstr>SellBIC</vt:lpstr>
      <vt:lpstr>SGDRATE</vt:lpstr>
      <vt:lpstr>StartCell</vt:lpstr>
      <vt:lpstr>THBRATE</vt:lpstr>
      <vt:lpstr>Threshholdlookup</vt:lpstr>
      <vt:lpstr>todaydate</vt:lpstr>
      <vt:lpstr>ToFXC</vt:lpstr>
      <vt:lpstr>tolerancelookup</vt:lpstr>
      <vt:lpstr>tollookup</vt:lpstr>
      <vt:lpstr>twodigitcurr</vt:lpstr>
      <vt:lpstr>USD</vt:lpstr>
    </vt:vector>
  </TitlesOfParts>
  <Company>State Street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Chip Lowry</dc:creator>
  <cp:lastModifiedBy>mikeba</cp:lastModifiedBy>
  <cp:lastPrinted>2018-04-20T17:32:09Z</cp:lastPrinted>
  <dcterms:created xsi:type="dcterms:W3CDTF">1997-11-16T22:20:09Z</dcterms:created>
  <dcterms:modified xsi:type="dcterms:W3CDTF">2018-05-16T12:26:17Z</dcterms:modified>
</cp:coreProperties>
</file>